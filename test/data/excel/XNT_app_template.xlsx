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nguyendn/Desktop/cim/import-export-backend/test/data/excel/"/>
    </mc:Choice>
  </mc:AlternateContent>
  <xr:revisionPtr revIDLastSave="0" documentId="13_ncr:1_{F4C15C7D-725A-0F4F-A699-E8A60BCE354A}" xr6:coauthVersionLast="47" xr6:coauthVersionMax="47" xr10:uidLastSave="{00000000-0000-0000-0000-000000000000}"/>
  <bookViews>
    <workbookView xWindow="-37800" yWindow="-1360" windowWidth="37800" windowHeight="20980" xr2:uid="{00000000-000D-0000-FFFF-FFFF00000000}"/>
  </bookViews>
  <sheets>
    <sheet name="THANG 11" sheetId="2" r:id="rId1"/>
  </sheets>
  <definedNames>
    <definedName name="_xlnm._FilterDatabase" localSheetId="0" hidden="1">'THANG 11'!$B$7:$CN$21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G9" i="2" l="1"/>
  <c r="CI9" i="2"/>
  <c r="CG10" i="2"/>
  <c r="CI10" i="2"/>
  <c r="CG11" i="2"/>
  <c r="CI11" i="2"/>
  <c r="CG12" i="2"/>
  <c r="CI12" i="2"/>
  <c r="CG13" i="2"/>
  <c r="CI13" i="2"/>
  <c r="CG14" i="2"/>
  <c r="CI14" i="2"/>
  <c r="CG15" i="2"/>
  <c r="CI15" i="2"/>
  <c r="CG16" i="2"/>
  <c r="CI16" i="2"/>
  <c r="CK9" i="2"/>
  <c r="CK10" i="2"/>
  <c r="CK11" i="2"/>
  <c r="CK12" i="2"/>
  <c r="CK13" i="2"/>
  <c r="CK14" i="2"/>
  <c r="CK15" i="2"/>
  <c r="CK16" i="2"/>
  <c r="CE9" i="2"/>
  <c r="CE10" i="2"/>
  <c r="CE11" i="2"/>
  <c r="CE12" i="2"/>
  <c r="CE13" i="2"/>
  <c r="CE14" i="2"/>
  <c r="CE15" i="2"/>
  <c r="CE16" i="2"/>
  <c r="CC9" i="2"/>
  <c r="CC10" i="2"/>
  <c r="CC11" i="2"/>
  <c r="CC12" i="2"/>
  <c r="CC13" i="2"/>
  <c r="CC14" i="2"/>
  <c r="CC15" i="2"/>
  <c r="CC16" i="2"/>
  <c r="CA11" i="2"/>
  <c r="CA12" i="2"/>
  <c r="CA13" i="2"/>
  <c r="CA14" i="2"/>
  <c r="CA15" i="2"/>
  <c r="CA16" i="2"/>
  <c r="CA9" i="2"/>
  <c r="CA10" i="2"/>
  <c r="BY11" i="2"/>
  <c r="BY12" i="2"/>
  <c r="BY13" i="2"/>
  <c r="BY14" i="2"/>
  <c r="BY15" i="2"/>
  <c r="BY16" i="2"/>
  <c r="BY9" i="2"/>
  <c r="K9" i="2"/>
  <c r="M9" i="2"/>
  <c r="O9" i="2"/>
  <c r="Q9" i="2"/>
  <c r="BU9" i="2" s="1" a="1"/>
  <c r="BU9" i="2" s="1"/>
  <c r="S9" i="2"/>
  <c r="U9" i="2"/>
  <c r="W9" i="2"/>
  <c r="Y9" i="2"/>
  <c r="AA9" i="2"/>
  <c r="AC9" i="2"/>
  <c r="AE9" i="2"/>
  <c r="AG9" i="2"/>
  <c r="AI9" i="2"/>
  <c r="AK9" i="2"/>
  <c r="AM9" i="2"/>
  <c r="AO9" i="2"/>
  <c r="AQ9" i="2"/>
  <c r="AS9" i="2"/>
  <c r="AU9" i="2"/>
  <c r="AW9" i="2"/>
  <c r="AY9" i="2"/>
  <c r="BA9" i="2"/>
  <c r="BC9" i="2"/>
  <c r="BE9" i="2"/>
  <c r="BG9" i="2"/>
  <c r="BI9" i="2"/>
  <c r="BK9" i="2"/>
  <c r="BM9" i="2"/>
  <c r="BO9" i="2"/>
  <c r="BQ9" i="2"/>
  <c r="K10" i="2"/>
  <c r="M10" i="2"/>
  <c r="O10" i="2"/>
  <c r="Q10" i="2"/>
  <c r="S10" i="2"/>
  <c r="U10" i="2"/>
  <c r="W10" i="2"/>
  <c r="Y10" i="2"/>
  <c r="AA10" i="2"/>
  <c r="AC10" i="2"/>
  <c r="AE10" i="2"/>
  <c r="AG10" i="2"/>
  <c r="AI10" i="2"/>
  <c r="AK10" i="2"/>
  <c r="AM10" i="2"/>
  <c r="AO10" i="2"/>
  <c r="AQ10" i="2"/>
  <c r="AS10" i="2"/>
  <c r="AU10" i="2"/>
  <c r="AW10" i="2"/>
  <c r="AY10" i="2"/>
  <c r="BA10" i="2"/>
  <c r="BC10" i="2"/>
  <c r="BE10" i="2"/>
  <c r="BG10" i="2"/>
  <c r="BI10" i="2"/>
  <c r="BK10" i="2"/>
  <c r="BM10" i="2"/>
  <c r="BO10" i="2"/>
  <c r="BQ10" i="2"/>
  <c r="K11" i="2"/>
  <c r="M11" i="2"/>
  <c r="O11" i="2"/>
  <c r="Q11" i="2"/>
  <c r="S11" i="2"/>
  <c r="U11" i="2"/>
  <c r="W11" i="2"/>
  <c r="Y11" i="2"/>
  <c r="AA11" i="2"/>
  <c r="AC11" i="2"/>
  <c r="AE11" i="2"/>
  <c r="AG11" i="2"/>
  <c r="AI11" i="2"/>
  <c r="AK11" i="2"/>
  <c r="AM11" i="2"/>
  <c r="AO11" i="2"/>
  <c r="AQ11" i="2"/>
  <c r="AS11" i="2"/>
  <c r="AU11" i="2"/>
  <c r="AW11" i="2"/>
  <c r="AY11" i="2"/>
  <c r="BA11" i="2"/>
  <c r="BC11" i="2"/>
  <c r="BE11" i="2"/>
  <c r="BG11" i="2"/>
  <c r="BI11" i="2"/>
  <c r="BK11" i="2"/>
  <c r="BM11" i="2"/>
  <c r="BO11" i="2"/>
  <c r="BQ11" i="2"/>
  <c r="K12" i="2"/>
  <c r="M12" i="2"/>
  <c r="O12" i="2"/>
  <c r="Q12" i="2"/>
  <c r="S12" i="2"/>
  <c r="U12" i="2"/>
  <c r="W12" i="2"/>
  <c r="Y12" i="2"/>
  <c r="AA12" i="2"/>
  <c r="AC12" i="2"/>
  <c r="AE12" i="2"/>
  <c r="AG12" i="2"/>
  <c r="AI12" i="2"/>
  <c r="AK12" i="2"/>
  <c r="AM12" i="2"/>
  <c r="AO12" i="2"/>
  <c r="AQ12" i="2"/>
  <c r="AS12" i="2"/>
  <c r="AU12" i="2"/>
  <c r="AW12" i="2"/>
  <c r="AY12" i="2"/>
  <c r="BA12" i="2"/>
  <c r="BC12" i="2"/>
  <c r="BE12" i="2"/>
  <c r="BG12" i="2"/>
  <c r="BI12" i="2"/>
  <c r="BK12" i="2"/>
  <c r="BM12" i="2"/>
  <c r="BO12" i="2"/>
  <c r="BQ12" i="2"/>
  <c r="K13" i="2"/>
  <c r="M13" i="2"/>
  <c r="O13" i="2"/>
  <c r="Q13" i="2"/>
  <c r="S13" i="2"/>
  <c r="U13" i="2"/>
  <c r="W13" i="2"/>
  <c r="Y13" i="2"/>
  <c r="AA13" i="2"/>
  <c r="AC13" i="2"/>
  <c r="AE13" i="2"/>
  <c r="AG13" i="2"/>
  <c r="AI13" i="2"/>
  <c r="AK13" i="2"/>
  <c r="AM13" i="2"/>
  <c r="AO13" i="2"/>
  <c r="AQ13" i="2"/>
  <c r="AS13" i="2"/>
  <c r="AU13" i="2"/>
  <c r="AW13" i="2"/>
  <c r="AY13" i="2"/>
  <c r="BA13" i="2"/>
  <c r="BC13" i="2"/>
  <c r="BE13" i="2"/>
  <c r="BG13" i="2"/>
  <c r="BI13" i="2"/>
  <c r="BK13" i="2"/>
  <c r="BM13" i="2"/>
  <c r="BO13" i="2"/>
  <c r="BQ13" i="2"/>
  <c r="K14" i="2"/>
  <c r="M14" i="2"/>
  <c r="O14" i="2"/>
  <c r="Q14" i="2"/>
  <c r="S14" i="2"/>
  <c r="U14" i="2"/>
  <c r="W14" i="2"/>
  <c r="Y14" i="2"/>
  <c r="AA14" i="2"/>
  <c r="AC14" i="2"/>
  <c r="AE14" i="2"/>
  <c r="AG14" i="2"/>
  <c r="AI14" i="2"/>
  <c r="AK14" i="2"/>
  <c r="AM14" i="2"/>
  <c r="AO14" i="2"/>
  <c r="AQ14" i="2"/>
  <c r="AS14" i="2"/>
  <c r="AU14" i="2"/>
  <c r="AW14" i="2"/>
  <c r="AY14" i="2"/>
  <c r="BA14" i="2"/>
  <c r="BC14" i="2"/>
  <c r="BE14" i="2"/>
  <c r="BG14" i="2"/>
  <c r="BI14" i="2"/>
  <c r="BK14" i="2"/>
  <c r="BM14" i="2"/>
  <c r="BO14" i="2"/>
  <c r="BQ14" i="2"/>
  <c r="K15" i="2"/>
  <c r="M15" i="2"/>
  <c r="O15" i="2"/>
  <c r="Q15" i="2"/>
  <c r="S15" i="2"/>
  <c r="U15" i="2"/>
  <c r="W15" i="2"/>
  <c r="Y15" i="2"/>
  <c r="AA15" i="2"/>
  <c r="AC15" i="2"/>
  <c r="AE15" i="2"/>
  <c r="AG15" i="2"/>
  <c r="AI15" i="2"/>
  <c r="AK15" i="2"/>
  <c r="AM15" i="2"/>
  <c r="AO15" i="2"/>
  <c r="AQ15" i="2"/>
  <c r="AS15" i="2"/>
  <c r="AU15" i="2"/>
  <c r="AW15" i="2"/>
  <c r="AY15" i="2"/>
  <c r="BA15" i="2"/>
  <c r="BC15" i="2"/>
  <c r="BE15" i="2"/>
  <c r="BG15" i="2"/>
  <c r="BI15" i="2"/>
  <c r="BK15" i="2"/>
  <c r="BM15" i="2"/>
  <c r="BO15" i="2"/>
  <c r="BQ15" i="2"/>
  <c r="K16" i="2"/>
  <c r="M16" i="2"/>
  <c r="O16" i="2"/>
  <c r="Q16" i="2"/>
  <c r="S16" i="2"/>
  <c r="U16" i="2"/>
  <c r="W16" i="2"/>
  <c r="Y16" i="2"/>
  <c r="AA16" i="2"/>
  <c r="AC16" i="2"/>
  <c r="AE16" i="2"/>
  <c r="AG16" i="2"/>
  <c r="AI16" i="2"/>
  <c r="AK16" i="2"/>
  <c r="AM16" i="2"/>
  <c r="AO16" i="2"/>
  <c r="AQ16" i="2"/>
  <c r="AS16" i="2"/>
  <c r="AU16" i="2"/>
  <c r="AW16" i="2"/>
  <c r="AY16" i="2"/>
  <c r="BA16" i="2"/>
  <c r="BC16" i="2"/>
  <c r="BE16" i="2"/>
  <c r="BG16" i="2"/>
  <c r="BI16" i="2"/>
  <c r="BK16" i="2"/>
  <c r="BM16" i="2"/>
  <c r="BO16" i="2"/>
  <c r="BQ16" i="2"/>
  <c r="BU13" i="2" a="1"/>
  <c r="BU13" i="2" s="1"/>
  <c r="BV13" i="2" s="1"/>
  <c r="I9" i="2"/>
  <c r="BS10" i="2"/>
  <c r="BS11" i="2"/>
  <c r="BS12" i="2"/>
  <c r="BS13" i="2"/>
  <c r="BS14" i="2"/>
  <c r="BS15" i="2"/>
  <c r="BS16" i="2"/>
  <c r="I10" i="2"/>
  <c r="I11" i="2"/>
  <c r="I12" i="2"/>
  <c r="I13" i="2"/>
  <c r="I14" i="2"/>
  <c r="I15" i="2"/>
  <c r="I16" i="2"/>
  <c r="G10" i="2"/>
  <c r="G11" i="2"/>
  <c r="G12" i="2"/>
  <c r="G13" i="2"/>
  <c r="G14" i="2"/>
  <c r="G15" i="2"/>
  <c r="G16" i="2"/>
  <c r="G9" i="2"/>
  <c r="CM10" i="2"/>
  <c r="CM11" i="2"/>
  <c r="CM12" i="2"/>
  <c r="CM13" i="2"/>
  <c r="CM14" i="2"/>
  <c r="CM15" i="2"/>
  <c r="CM16" i="2"/>
  <c r="CM9" i="2"/>
  <c r="BX9" i="2"/>
  <c r="BS9" i="2"/>
  <c r="BU14" i="2" l="1" a="1"/>
  <c r="BU14" i="2" s="1"/>
  <c r="BV14" i="2" s="1"/>
  <c r="BU10" i="2" a="1"/>
  <c r="BU10" i="2" s="1"/>
  <c r="BV10" i="2" s="1"/>
  <c r="BU16" i="2" a="1"/>
  <c r="BU16" i="2" s="1"/>
  <c r="BV16" i="2" s="1"/>
  <c r="BU11" i="2" a="1"/>
  <c r="BU11" i="2" s="1"/>
  <c r="BV11" i="2" s="1"/>
  <c r="BU15" i="2" a="1"/>
  <c r="BU15" i="2" s="1"/>
  <c r="BV15" i="2" s="1"/>
  <c r="BU12" i="2" a="1"/>
  <c r="BU12" i="2" s="1"/>
  <c r="BV12" i="2" s="1"/>
  <c r="BT9" i="2"/>
  <c r="BV9" i="2"/>
  <c r="BT10" i="2" l="1"/>
  <c r="BX10" i="2"/>
  <c r="BY10" i="2" l="1"/>
  <c r="BT12" i="2"/>
  <c r="BX12" i="2" l="1"/>
  <c r="BT13" i="2"/>
  <c r="BX13" i="2" l="1"/>
  <c r="BT14" i="2"/>
  <c r="BT15" i="2"/>
  <c r="BT16" i="2"/>
  <c r="BX15" i="2" l="1"/>
  <c r="BX14" i="2"/>
  <c r="BX16" i="2"/>
  <c r="BT11" i="2"/>
  <c r="BX11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<sst xmlns="http://schemas.openxmlformats.org/spreadsheetml/2006/main" count="129" uniqueCount="42">
  <si>
    <t>CĂN TIN ĐẠI HỌC NGÂN HÀNG</t>
  </si>
  <si>
    <t xml:space="preserve"> </t>
  </si>
  <si>
    <t>ĐVT</t>
  </si>
  <si>
    <t>TỒN ĐẦU</t>
  </si>
  <si>
    <t>TỔNG NHẬP</t>
  </si>
  <si>
    <t xml:space="preserve"> XUẤT KHO GIÁ VỐN </t>
  </si>
  <si>
    <t>GIÁ BÁN THỰC TẾ</t>
  </si>
  <si>
    <t>TỒN CUỐI</t>
  </si>
  <si>
    <t>STT</t>
  </si>
  <si>
    <t>MÁY TÍNH TIỀN</t>
  </si>
  <si>
    <t>SL THÙNG</t>
  </si>
  <si>
    <t>SL</t>
  </si>
  <si>
    <t>ĐG</t>
  </si>
  <si>
    <t>TT</t>
  </si>
  <si>
    <t>HỦY</t>
  </si>
  <si>
    <t xml:space="preserve">T.TIỀN </t>
  </si>
  <si>
    <t xml:space="preserve">T.LÝ </t>
  </si>
  <si>
    <t xml:space="preserve">TT </t>
  </si>
  <si>
    <t>7UP</t>
  </si>
  <si>
    <t>CHAI</t>
  </si>
  <si>
    <t>CAM ÉP 320 ML</t>
  </si>
  <si>
    <t>CAM ÉP 450 ML</t>
  </si>
  <si>
    <t>PEPSI 390 ml</t>
  </si>
  <si>
    <t>REVIVE 500 ml</t>
  </si>
  <si>
    <t>BẢNG TỔNG HỢP NHẬP XUẤT TỒN THÁNG 10/2023</t>
  </si>
  <si>
    <t>Ngày</t>
  </si>
  <si>
    <t>__product_id</t>
  </si>
  <si>
    <t>Đơn giá</t>
  </si>
  <si>
    <t>THANH LÝ</t>
  </si>
  <si>
    <t>DIỄN GIẢI</t>
  </si>
  <si>
    <t>test-product-id1</t>
  </si>
  <si>
    <t>test-product-id2</t>
  </si>
  <si>
    <t>test-product-id3</t>
  </si>
  <si>
    <t>test-product-id4</t>
  </si>
  <si>
    <t>test-product-id5</t>
  </si>
  <si>
    <t>test-product-id6</t>
  </si>
  <si>
    <t>test-product-id7</t>
  </si>
  <si>
    <t>test-product-id8</t>
  </si>
  <si>
    <t>XUẤT KTL (KHÔNG THU TIỀN)</t>
  </si>
  <si>
    <t>NHÀ ĂN HỦY, THANH LÝ</t>
  </si>
  <si>
    <t>XUẤT QUỐC PHÒNG    (THU TIỀN )</t>
  </si>
  <si>
    <t>XUẤT BỜ HỒ               (THU TIỀN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</si>
</sst>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0.0"/>
    <numFmt numFmtId="166" formatCode="_(* #,##0_);_(* \(#,##0\);_(* &quot;-&quot;??_);_(@_)"/>
    <numFmt numFmtId="167" formatCode="0.0%"/>
    <numFmt numFmtId="168" formatCode="_(* #,##0.000_);_(* \(#,##0.000\);_(* &quot;-&quot;??_);_(@_)"/>
    <numFmt numFmtId="169" formatCode="#,##0.000"/>
    <numFmt numFmtId="170" formatCode="#,##0.0"/>
    <numFmt numFmtId="171" formatCode="0.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color theme="1"/>
      <name val="Times New Roman"/>
      <family val="1"/>
    </font>
    <font>
      <b/>
      <sz val="14"/>
      <color indexed="10"/>
      <name val="Times New Roman"/>
      <family val="1"/>
    </font>
    <font>
      <sz val="8"/>
      <name val="Calibri"/>
      <family val="2"/>
      <scheme val="minor"/>
    </font>
    <font>
      <sz val="14"/>
      <name val="Times New Roman"/>
      <family val="1"/>
    </font>
    <font>
      <b/>
      <sz val="16"/>
      <name val="Times New Roman"/>
      <family val="1"/>
    </font>
    <font>
      <sz val="16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04">
    <xf numFmtId="0" fontId="0" fillId="0" borderId="0" xfId="0"/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171" fontId="2" fillId="0" borderId="0" xfId="0" applyNumberFormat="1" applyFont="1" applyAlignment="1" applyProtection="1">
      <alignment horizontal="center"/>
      <protection locked="0"/>
    </xf>
    <xf numFmtId="3" fontId="2" fillId="5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 applyProtection="1">
      <alignment horizontal="right" vertical="center"/>
      <protection locked="0"/>
    </xf>
    <xf numFmtId="41" fontId="10" fillId="0" borderId="1" xfId="3" applyFont="1" applyFill="1" applyBorder="1" applyAlignment="1" applyProtection="1">
      <alignment horizontal="right" vertical="center"/>
      <protection locked="0"/>
    </xf>
    <xf numFmtId="41" fontId="10" fillId="11" borderId="1" xfId="3" applyFont="1" applyFill="1" applyBorder="1" applyAlignment="1" applyProtection="1">
      <alignment horizontal="right" vertical="center"/>
      <protection locked="0"/>
    </xf>
    <xf numFmtId="166" fontId="10" fillId="0" borderId="1" xfId="0" applyNumberFormat="1" applyFont="1" applyBorder="1" applyAlignment="1">
      <alignment horizontal="right" vertical="center"/>
    </xf>
    <xf numFmtId="170" fontId="10" fillId="9" borderId="1" xfId="0" applyNumberFormat="1" applyFont="1" applyFill="1" applyBorder="1" applyAlignment="1" applyProtection="1">
      <alignment horizontal="right" vertical="center" wrapText="1"/>
      <protection locked="0"/>
    </xf>
    <xf numFmtId="2" fontId="10" fillId="0" borderId="1" xfId="0" applyNumberFormat="1" applyFont="1" applyBorder="1" applyAlignment="1" applyProtection="1">
      <alignment horizontal="right" vertical="center" wrapText="1"/>
      <protection locked="0"/>
    </xf>
    <xf numFmtId="2" fontId="10" fillId="7" borderId="1" xfId="0" applyNumberFormat="1" applyFont="1" applyFill="1" applyBorder="1" applyAlignment="1" applyProtection="1">
      <alignment horizontal="right" vertical="center" wrapText="1"/>
      <protection locked="0"/>
    </xf>
    <xf numFmtId="0" fontId="10" fillId="0" borderId="0" xfId="0" applyFont="1" applyAlignment="1" applyProtection="1">
      <alignment horizontal="right" vertical="center"/>
      <protection locked="0"/>
    </xf>
    <xf numFmtId="41" fontId="10" fillId="0" borderId="1" xfId="3" applyFont="1" applyBorder="1" applyAlignment="1" applyProtection="1">
      <alignment horizontal="right" vertical="center"/>
    </xf>
    <xf numFmtId="0" fontId="10" fillId="9" borderId="1" xfId="0" applyFont="1" applyFill="1" applyBorder="1" applyAlignment="1" applyProtection="1">
      <alignment horizontal="right" vertical="center"/>
      <protection locked="0"/>
    </xf>
    <xf numFmtId="165" fontId="10" fillId="7" borderId="1" xfId="0" applyNumberFormat="1" applyFont="1" applyFill="1" applyBorder="1" applyAlignment="1" applyProtection="1">
      <alignment horizontal="right" vertical="center" wrapText="1"/>
      <protection locked="0"/>
    </xf>
    <xf numFmtId="0" fontId="11" fillId="0" borderId="1" xfId="0" applyFont="1" applyBorder="1" applyAlignment="1" applyProtection="1">
      <alignment horizontal="left" vertical="center"/>
      <protection locked="0"/>
    </xf>
    <xf numFmtId="0" fontId="12" fillId="0" borderId="1" xfId="0" applyFont="1" applyBorder="1" applyAlignment="1" applyProtection="1">
      <alignment horizontal="left" vertical="center"/>
      <protection locked="0"/>
    </xf>
    <xf numFmtId="41" fontId="10" fillId="0" borderId="1" xfId="3" applyFont="1" applyBorder="1" applyAlignment="1" applyProtection="1">
      <alignment horizontal="right" vertical="center" wrapText="1"/>
    </xf>
    <xf numFmtId="41" fontId="10" fillId="2" borderId="1" xfId="3" applyFont="1" applyFill="1" applyBorder="1" applyAlignment="1" applyProtection="1">
      <alignment horizontal="right" vertical="center"/>
    </xf>
    <xf numFmtId="41" fontId="10" fillId="9" borderId="1" xfId="3" applyFont="1" applyFill="1" applyBorder="1" applyAlignment="1" applyProtection="1">
      <alignment horizontal="right" vertical="center" wrapText="1"/>
      <protection locked="0"/>
    </xf>
    <xf numFmtId="41" fontId="10" fillId="9" borderId="1" xfId="3" applyFont="1" applyFill="1" applyBorder="1" applyAlignment="1" applyProtection="1">
      <alignment horizontal="right" vertical="center"/>
      <protection locked="0"/>
    </xf>
    <xf numFmtId="41" fontId="10" fillId="6" borderId="1" xfId="3" applyFont="1" applyFill="1" applyBorder="1" applyAlignment="1" applyProtection="1">
      <alignment horizontal="right" vertical="center" wrapText="1"/>
    </xf>
    <xf numFmtId="0" fontId="9" fillId="0" borderId="0" xfId="0" applyFont="1" applyProtection="1">
      <protection locked="0"/>
    </xf>
    <xf numFmtId="0" fontId="4" fillId="0" borderId="0" xfId="0" applyFont="1" applyProtection="1">
      <protection locked="0"/>
    </xf>
    <xf numFmtId="165" fontId="2" fillId="0" borderId="0" xfId="0" applyNumberFormat="1" applyFont="1" applyProtection="1">
      <protection locked="0"/>
    </xf>
    <xf numFmtId="0" fontId="5" fillId="0" borderId="0" xfId="0" applyFont="1" applyProtection="1">
      <protection locked="0"/>
    </xf>
    <xf numFmtId="4" fontId="2" fillId="0" borderId="0" xfId="0" applyNumberFormat="1" applyFont="1" applyProtection="1">
      <protection locked="0"/>
    </xf>
    <xf numFmtId="0" fontId="0" fillId="0" borderId="0" xfId="0" applyProtection="1">
      <protection locked="0"/>
    </xf>
    <xf numFmtId="166" fontId="2" fillId="0" borderId="0" xfId="0" applyNumberFormat="1" applyFont="1" applyProtection="1">
      <protection locked="0"/>
    </xf>
    <xf numFmtId="0" fontId="2" fillId="3" borderId="0" xfId="0" applyFont="1" applyFill="1" applyProtection="1">
      <protection locked="0"/>
    </xf>
    <xf numFmtId="4" fontId="2" fillId="0" borderId="0" xfId="0" applyNumberFormat="1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167" fontId="2" fillId="0" borderId="0" xfId="0" applyNumberFormat="1" applyFont="1" applyProtection="1">
      <protection locked="0"/>
    </xf>
    <xf numFmtId="168" fontId="2" fillId="0" borderId="0" xfId="0" applyNumberFormat="1" applyFont="1" applyProtection="1">
      <protection locked="0"/>
    </xf>
    <xf numFmtId="43" fontId="2" fillId="0" borderId="0" xfId="0" applyNumberFormat="1" applyFont="1" applyProtection="1">
      <protection locked="0"/>
    </xf>
    <xf numFmtId="169" fontId="2" fillId="0" borderId="0" xfId="2" applyNumberFormat="1" applyFont="1" applyBorder="1" applyProtection="1">
      <protection locked="0"/>
    </xf>
    <xf numFmtId="169" fontId="2" fillId="0" borderId="0" xfId="0" applyNumberFormat="1" applyFont="1" applyProtection="1">
      <protection locked="0"/>
    </xf>
    <xf numFmtId="0" fontId="2" fillId="10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/>
    </xf>
    <xf numFmtId="4" fontId="2" fillId="6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7" borderId="1" xfId="0" applyNumberFormat="1" applyFont="1" applyFill="1" applyBorder="1" applyAlignment="1">
      <alignment horizontal="center" vertical="center" wrapText="1"/>
    </xf>
    <xf numFmtId="2" fontId="2" fillId="8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vertical="center" wrapText="1"/>
    </xf>
    <xf numFmtId="170" fontId="4" fillId="9" borderId="1" xfId="0" applyNumberFormat="1" applyFont="1" applyFill="1" applyBorder="1" applyAlignment="1">
      <alignment horizontal="right" vertical="center" wrapText="1"/>
    </xf>
    <xf numFmtId="170" fontId="2" fillId="9" borderId="1" xfId="0" applyNumberFormat="1" applyFont="1" applyFill="1" applyBorder="1" applyAlignment="1">
      <alignment horizontal="right" vertical="center" wrapText="1"/>
    </xf>
    <xf numFmtId="165" fontId="2" fillId="9" borderId="1" xfId="0" applyNumberFormat="1" applyFont="1" applyFill="1" applyBorder="1" applyAlignment="1">
      <alignment horizontal="right" vertical="center" wrapText="1"/>
    </xf>
    <xf numFmtId="170" fontId="2" fillId="9" borderId="1" xfId="0" applyNumberFormat="1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/>
    <xf numFmtId="170" fontId="2" fillId="8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171" fontId="2" fillId="10" borderId="1" xfId="0" applyNumberFormat="1" applyFont="1" applyFill="1" applyBorder="1" applyAlignment="1">
      <alignment horizontal="center"/>
    </xf>
    <xf numFmtId="170" fontId="4" fillId="10" borderId="1" xfId="0" applyNumberFormat="1" applyFont="1" applyFill="1" applyBorder="1" applyAlignment="1">
      <alignment horizontal="right" vertical="center" wrapText="1"/>
    </xf>
    <xf numFmtId="2" fontId="2" fillId="10" borderId="1" xfId="0" applyNumberFormat="1" applyFont="1" applyFill="1" applyBorder="1" applyAlignment="1">
      <alignment horizontal="center" vertical="center" wrapText="1"/>
    </xf>
    <xf numFmtId="170" fontId="2" fillId="10" borderId="1" xfId="0" applyNumberFormat="1" applyFont="1" applyFill="1" applyBorder="1" applyAlignment="1">
      <alignment horizontal="right" vertical="center" wrapText="1"/>
    </xf>
    <xf numFmtId="165" fontId="2" fillId="10" borderId="1" xfId="0" applyNumberFormat="1" applyFont="1" applyFill="1" applyBorder="1" applyAlignment="1">
      <alignment horizontal="right" vertical="center" wrapText="1"/>
    </xf>
    <xf numFmtId="170" fontId="2" fillId="10" borderId="1" xfId="0" applyNumberFormat="1" applyFont="1" applyFill="1" applyBorder="1" applyAlignment="1">
      <alignment horizontal="center" vertical="center" wrapText="1"/>
    </xf>
    <xf numFmtId="2" fontId="5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/>
    <xf numFmtId="4" fontId="2" fillId="10" borderId="1" xfId="0" applyNumberFormat="1" applyFont="1" applyFill="1" applyBorder="1" applyAlignment="1">
      <alignment horizontal="center" vertical="center" wrapText="1"/>
    </xf>
    <xf numFmtId="170" fontId="2" fillId="10" borderId="1" xfId="0" applyNumberFormat="1" applyFont="1" applyFill="1" applyBorder="1" applyAlignment="1">
      <alignment horizontal="center"/>
    </xf>
    <xf numFmtId="4" fontId="2" fillId="10" borderId="1" xfId="0" applyNumberFormat="1" applyFont="1" applyFill="1" applyBorder="1" applyAlignment="1">
      <alignment horizontal="center"/>
    </xf>
    <xf numFmtId="166" fontId="2" fillId="10" borderId="1" xfId="0" applyNumberFormat="1" applyFont="1" applyFill="1" applyBorder="1"/>
    <xf numFmtId="0" fontId="3" fillId="10" borderId="1" xfId="0" applyFont="1" applyFill="1" applyBorder="1" applyAlignment="1">
      <alignment horizontal="left"/>
    </xf>
    <xf numFmtId="171" fontId="2" fillId="10" borderId="1" xfId="1" applyNumberFormat="1" applyFont="1" applyFill="1" applyBorder="1" applyAlignment="1" applyProtection="1">
      <alignment horizontal="center"/>
    </xf>
    <xf numFmtId="166" fontId="2" fillId="10" borderId="1" xfId="0" applyNumberFormat="1" applyFont="1" applyFill="1" applyBorder="1" applyAlignment="1">
      <alignment horizontal="right"/>
    </xf>
    <xf numFmtId="170" fontId="2" fillId="10" borderId="1" xfId="0" applyNumberFormat="1" applyFont="1" applyFill="1" applyBorder="1"/>
    <xf numFmtId="165" fontId="2" fillId="10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41" fontId="10" fillId="8" borderId="1" xfId="3" applyFont="1" applyFill="1" applyBorder="1" applyAlignment="1" applyProtection="1">
      <alignment horizontal="right" vertical="center"/>
    </xf>
    <xf numFmtId="170" fontId="4" fillId="11" borderId="1" xfId="0" applyNumberFormat="1" applyFont="1" applyFill="1" applyBorder="1" applyAlignment="1">
      <alignment horizontal="right" vertical="center" wrapText="1"/>
    </xf>
    <xf numFmtId="4" fontId="2" fillId="11" borderId="1" xfId="0" applyNumberFormat="1" applyFont="1" applyFill="1" applyBorder="1" applyAlignment="1">
      <alignment horizontal="center" vertical="center" wrapText="1"/>
    </xf>
    <xf numFmtId="4" fontId="10" fillId="11" borderId="1" xfId="0" applyNumberFormat="1" applyFont="1" applyFill="1" applyBorder="1" applyAlignment="1" applyProtection="1">
      <alignment horizontal="right" vertical="center"/>
      <protection locked="0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71" fontId="2" fillId="0" borderId="2" xfId="0" applyNumberFormat="1" applyFont="1" applyBorder="1" applyAlignment="1">
      <alignment horizontal="center" vertical="center" wrapText="1"/>
    </xf>
    <xf numFmtId="171" fontId="2" fillId="0" borderId="11" xfId="0" applyNumberFormat="1" applyFont="1" applyBorder="1" applyAlignment="1">
      <alignment horizontal="center" vertical="center" wrapText="1"/>
    </xf>
    <xf numFmtId="171" fontId="2" fillId="0" borderId="8" xfId="0" applyNumberFormat="1" applyFont="1" applyBorder="1" applyAlignment="1">
      <alignment horizontal="center" vertical="center" wrapText="1"/>
    </xf>
    <xf numFmtId="0" fontId="8" fillId="0" borderId="2" xfId="0" applyFont="1" applyBorder="1" applyAlignment="1" applyProtection="1">
      <alignment horizontal="left" vertical="top"/>
      <protection locked="0"/>
    </xf>
    <xf numFmtId="0" fontId="8" fillId="0" borderId="11" xfId="0" applyFont="1" applyBorder="1" applyAlignment="1" applyProtection="1">
      <alignment horizontal="left" vertical="top"/>
      <protection locked="0"/>
    </xf>
    <xf numFmtId="0" fontId="8" fillId="0" borderId="8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2" fillId="11" borderId="1" xfId="0" applyNumberFormat="1" applyFont="1" applyFill="1" applyBorder="1" applyAlignment="1">
      <alignment horizontal="center" vertical="center" wrapText="1"/>
    </xf>
  </cellXfs>
  <cellStyles count="4">
    <cellStyle name="Comma" xfId="1" builtinId="3"/>
    <cellStyle name="Comma [0]" xfId="3" builtinId="6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FFFF99"/>
      <color rgb="FFDDDDDD"/>
      <color rgb="FFAAAAAA"/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15</xdr:row>
      <xdr:rowOff>0</xdr:rowOff>
    </xdr:from>
    <xdr:to>
      <xdr:col>23</xdr:col>
      <xdr:colOff>304800</xdr:colOff>
      <xdr:row>16</xdr:row>
      <xdr:rowOff>15875</xdr:rowOff>
    </xdr:to>
    <xdr:sp macro="" textlink="">
      <xdr:nvSpPr>
        <xdr:cNvPr id="2" name="AutoShape 1" descr="Close button">
          <a:extLst>
            <a:ext uri="{FF2B5EF4-FFF2-40B4-BE49-F238E27FC236}">
              <a16:creationId xmlns:a16="http://schemas.microsoft.com/office/drawing/2014/main" id="{05F73D71-6E18-42C0-957C-0399FD8D046F}"/>
            </a:ext>
          </a:extLst>
        </xdr:cNvPr>
        <xdr:cNvSpPr>
          <a:spLocks noChangeAspect="1" noChangeArrowheads="1"/>
        </xdr:cNvSpPr>
      </xdr:nvSpPr>
      <xdr:spPr bwMode="auto">
        <a:xfrm>
          <a:off x="30165675" y="241144425"/>
          <a:ext cx="30480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15</xdr:row>
      <xdr:rowOff>0</xdr:rowOff>
    </xdr:from>
    <xdr:ext cx="304800" cy="304800"/>
    <xdr:sp macro="" textlink="">
      <xdr:nvSpPr>
        <xdr:cNvPr id="3" name="AutoShape 1" descr="Close button">
          <a:extLst>
            <a:ext uri="{FF2B5EF4-FFF2-40B4-BE49-F238E27FC236}">
              <a16:creationId xmlns:a16="http://schemas.microsoft.com/office/drawing/2014/main" id="{0E37A049-BF47-42ED-A3AF-9A09412C869E}"/>
            </a:ext>
          </a:extLst>
        </xdr:cNvPr>
        <xdr:cNvSpPr>
          <a:spLocks noChangeAspect="1" noChangeArrowheads="1"/>
        </xdr:cNvSpPr>
      </xdr:nvSpPr>
      <xdr:spPr bwMode="auto">
        <a:xfrm>
          <a:off x="0" y="395653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46731-3743-42D5-8BB3-3F33B44D815E}">
  <dimension ref="A2:CM35"/>
  <sheetViews>
    <sheetView tabSelected="1" topLeftCell="B1" zoomScaleNormal="100" workbookViewId="0">
      <pane xSplit="6" topLeftCell="AT1" activePane="topRight" state="frozen"/>
      <selection pane="topRight" activeCell="AU23" sqref="AU23"/>
    </sheetView>
  </sheetViews>
  <sheetFormatPr baseColWidth="10" defaultColWidth="9.1640625" defaultRowHeight="18" x14ac:dyDescent="0.2"/>
  <cols>
    <col min="1" max="1" width="15.1640625" style="2" hidden="1" customWidth="1"/>
    <col min="2" max="2" width="6.83203125" style="2" customWidth="1"/>
    <col min="3" max="3" width="60.83203125" style="32" customWidth="1"/>
    <col min="4" max="4" width="10.83203125" style="1" customWidth="1"/>
    <col min="5" max="5" width="12.5" style="3" customWidth="1"/>
    <col min="6" max="6" width="11" style="24" customWidth="1"/>
    <col min="7" max="7" width="16.83203125" style="2" customWidth="1"/>
    <col min="8" max="8" width="8.5" style="2" customWidth="1"/>
    <col min="9" max="9" width="17.5" style="2" customWidth="1"/>
    <col min="10" max="10" width="10.33203125" style="2" customWidth="1"/>
    <col min="11" max="11" width="17.5" style="2" customWidth="1"/>
    <col min="12" max="12" width="8.5" style="2" customWidth="1"/>
    <col min="13" max="13" width="17.5" style="2" customWidth="1"/>
    <col min="14" max="14" width="10.5" style="2" customWidth="1"/>
    <col min="15" max="15" width="17.5" style="2" customWidth="1"/>
    <col min="16" max="16" width="10.83203125" style="2" customWidth="1"/>
    <col min="17" max="17" width="17.5" style="2" customWidth="1"/>
    <col min="18" max="18" width="9.6640625" style="2" customWidth="1"/>
    <col min="19" max="19" width="17.5" style="2" customWidth="1"/>
    <col min="20" max="20" width="10.5" style="2" customWidth="1"/>
    <col min="21" max="21" width="17.5" style="2" customWidth="1"/>
    <col min="22" max="22" width="12.33203125" style="2" customWidth="1"/>
    <col min="23" max="23" width="17.5" style="2" customWidth="1"/>
    <col min="24" max="24" width="12" style="2" customWidth="1"/>
    <col min="25" max="25" width="17.5" style="2" customWidth="1"/>
    <col min="26" max="26" width="10.33203125" style="2" customWidth="1"/>
    <col min="27" max="27" width="17.5" style="2" customWidth="1"/>
    <col min="28" max="28" width="10.83203125" style="2" customWidth="1"/>
    <col min="29" max="29" width="17.5" style="2" customWidth="1"/>
    <col min="30" max="30" width="9.5" style="2" customWidth="1"/>
    <col min="31" max="31" width="17.5" style="2" customWidth="1"/>
    <col min="32" max="32" width="9.83203125" style="25" customWidth="1"/>
    <col min="33" max="33" width="17.5" style="2" customWidth="1"/>
    <col min="34" max="34" width="8.83203125" style="2" customWidth="1"/>
    <col min="35" max="35" width="17.5" style="2" customWidth="1"/>
    <col min="36" max="36" width="8.33203125" style="2" customWidth="1"/>
    <col min="37" max="37" width="17.5" style="2" customWidth="1"/>
    <col min="38" max="38" width="8.83203125" style="2" customWidth="1"/>
    <col min="39" max="39" width="17.5" style="2" customWidth="1"/>
    <col min="40" max="40" width="9.6640625" style="2" customWidth="1"/>
    <col min="41" max="41" width="17.5" style="2" customWidth="1"/>
    <col min="42" max="42" width="8.83203125" style="2" customWidth="1"/>
    <col min="43" max="43" width="17.5" style="2" customWidth="1"/>
    <col min="44" max="44" width="8.5" style="2" customWidth="1"/>
    <col min="45" max="45" width="17.5" style="2" customWidth="1"/>
    <col min="46" max="46" width="8.5" style="2" customWidth="1"/>
    <col min="47" max="47" width="17.5" style="2" customWidth="1"/>
    <col min="48" max="48" width="9.5" style="2" customWidth="1"/>
    <col min="49" max="49" width="17.5" style="2" customWidth="1"/>
    <col min="50" max="50" width="8.6640625" style="1" customWidth="1"/>
    <col min="51" max="51" width="17.5" style="2" customWidth="1"/>
    <col min="52" max="52" width="9.5" style="2" customWidth="1"/>
    <col min="53" max="53" width="16.33203125" style="2" customWidth="1"/>
    <col min="54" max="54" width="8.5" style="2" customWidth="1"/>
    <col min="55" max="55" width="17.5" style="2" customWidth="1"/>
    <col min="56" max="56" width="11.5" style="24" customWidth="1"/>
    <col min="57" max="57" width="17.5" style="2" customWidth="1"/>
    <col min="58" max="58" width="10.5" style="2" customWidth="1"/>
    <col min="59" max="59" width="17.5" style="26" customWidth="1"/>
    <col min="60" max="60" width="11.33203125" style="2" customWidth="1"/>
    <col min="61" max="61" width="17.5" style="2" customWidth="1"/>
    <col min="62" max="62" width="9.6640625" style="2" customWidth="1"/>
    <col min="63" max="63" width="17.5" style="2" customWidth="1"/>
    <col min="64" max="64" width="9.5" style="2" customWidth="1"/>
    <col min="65" max="65" width="17.5" style="2" customWidth="1"/>
    <col min="66" max="66" width="8.6640625" style="2" customWidth="1"/>
    <col min="67" max="67" width="17.5" style="2" customWidth="1"/>
    <col min="68" max="68" width="9.5" style="2" customWidth="1"/>
    <col min="69" max="69" width="20.33203125" style="2" customWidth="1"/>
    <col min="70" max="70" width="10.1640625" style="2" customWidth="1"/>
    <col min="71" max="71" width="17.83203125" style="2" customWidth="1"/>
    <col min="72" max="72" width="14.5" style="2" customWidth="1"/>
    <col min="73" max="73" width="13.6640625" style="27" customWidth="1"/>
    <col min="74" max="74" width="20.5" style="1" customWidth="1"/>
    <col min="75" max="75" width="15.1640625" style="2" customWidth="1"/>
    <col min="76" max="76" width="18.6640625" style="2" customWidth="1"/>
    <col min="77" max="77" width="12" style="1" customWidth="1"/>
    <col min="78" max="78" width="15.1640625" style="28" customWidth="1"/>
    <col min="79" max="79" width="21.5" style="2" customWidth="1"/>
    <col min="80" max="80" width="9.33203125" style="2" customWidth="1"/>
    <col min="81" max="82" width="15.1640625" style="2" customWidth="1"/>
    <col min="83" max="83" width="13.6640625" style="2" customWidth="1"/>
    <col min="84" max="84" width="9.5" style="2" customWidth="1"/>
    <col min="85" max="85" width="16" style="2" customWidth="1"/>
    <col min="86" max="86" width="11.83203125" style="2" customWidth="1"/>
    <col min="87" max="87" width="18.33203125" style="2" customWidth="1"/>
    <col min="88" max="88" width="11.1640625" style="30" customWidth="1"/>
    <col min="89" max="89" width="20.6640625" style="2" customWidth="1"/>
    <col min="90" max="90" width="11.83203125" style="31" customWidth="1"/>
    <col min="91" max="91" width="17.6640625" style="2" customWidth="1"/>
    <col min="92" max="16384" width="9.1640625" style="2"/>
  </cols>
  <sheetData>
    <row r="2" spans="1:91" ht="18" customHeight="1" x14ac:dyDescent="0.2">
      <c r="C2" s="23" t="s">
        <v>0</v>
      </c>
      <c r="CC2" s="2" t="s">
        <v>1</v>
      </c>
      <c r="CF2" s="29"/>
    </row>
    <row r="3" spans="1:91" ht="18" customHeight="1" x14ac:dyDescent="0.2">
      <c r="C3" s="32" t="s">
        <v>24</v>
      </c>
      <c r="I3" s="33"/>
      <c r="K3" s="29"/>
      <c r="M3" s="29"/>
      <c r="O3" s="29"/>
      <c r="AA3" s="34"/>
      <c r="AI3" s="35"/>
      <c r="AK3" s="29"/>
      <c r="AL3" s="35"/>
      <c r="AM3" s="29"/>
      <c r="AO3" s="36"/>
      <c r="AS3" s="37"/>
      <c r="BC3" s="29"/>
      <c r="BI3" s="29"/>
      <c r="BK3" s="29"/>
      <c r="BM3" s="35"/>
      <c r="BQ3" s="29"/>
    </row>
    <row r="4" spans="1:91" ht="18" customHeight="1" x14ac:dyDescent="0.2">
      <c r="I4" s="33"/>
      <c r="K4" s="29"/>
      <c r="M4" s="29"/>
      <c r="O4" s="29"/>
      <c r="AA4" s="34"/>
      <c r="AI4" s="35"/>
      <c r="AK4" s="29"/>
      <c r="AL4" s="35"/>
      <c r="AM4" s="29"/>
      <c r="AO4" s="36"/>
      <c r="AS4" s="37"/>
      <c r="BC4" s="29"/>
      <c r="BI4" s="29"/>
      <c r="BK4" s="29"/>
      <c r="BM4" s="35"/>
      <c r="BQ4" s="29"/>
    </row>
    <row r="5" spans="1:91" ht="18" customHeight="1" x14ac:dyDescent="0.2">
      <c r="A5" s="87" t="s">
        <v>26</v>
      </c>
      <c r="B5" s="90" t="s">
        <v>8</v>
      </c>
      <c r="C5" s="78" t="s">
        <v>29</v>
      </c>
      <c r="D5" s="81" t="s">
        <v>2</v>
      </c>
      <c r="E5" s="84" t="s">
        <v>27</v>
      </c>
      <c r="F5" s="102" t="s">
        <v>3</v>
      </c>
      <c r="G5" s="102"/>
      <c r="H5" s="97" t="s">
        <v>25</v>
      </c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7"/>
      <c r="BF5" s="97"/>
      <c r="BG5" s="97"/>
      <c r="BH5" s="97"/>
      <c r="BI5" s="97"/>
      <c r="BJ5" s="97"/>
      <c r="BK5" s="97"/>
      <c r="BL5" s="97"/>
      <c r="BM5" s="97"/>
      <c r="BN5" s="97"/>
      <c r="BO5" s="97"/>
      <c r="BP5" s="97"/>
      <c r="BQ5" s="97"/>
      <c r="BR5" s="97"/>
      <c r="BS5" s="97"/>
      <c r="BT5" s="39"/>
      <c r="BU5" s="97" t="s">
        <v>4</v>
      </c>
      <c r="BV5" s="97"/>
      <c r="BW5" s="97" t="s">
        <v>5</v>
      </c>
      <c r="BX5" s="97"/>
      <c r="BY5" s="98" t="s">
        <v>6</v>
      </c>
      <c r="BZ5" s="98"/>
      <c r="CA5" s="98"/>
      <c r="CB5" s="99" t="s">
        <v>39</v>
      </c>
      <c r="CC5" s="100"/>
      <c r="CD5" s="100"/>
      <c r="CE5" s="101"/>
      <c r="CF5" s="91" t="s">
        <v>38</v>
      </c>
      <c r="CG5" s="92"/>
      <c r="CH5" s="91" t="s">
        <v>41</v>
      </c>
      <c r="CI5" s="92"/>
      <c r="CJ5" s="91" t="s">
        <v>40</v>
      </c>
      <c r="CK5" s="92"/>
      <c r="CL5" s="103" t="s">
        <v>7</v>
      </c>
      <c r="CM5" s="103"/>
    </row>
    <row r="6" spans="1:91" ht="36.75" customHeight="1" x14ac:dyDescent="0.2">
      <c r="A6" s="88"/>
      <c r="B6" s="90"/>
      <c r="C6" s="79"/>
      <c r="D6" s="82"/>
      <c r="E6" s="85"/>
      <c r="F6" s="102"/>
      <c r="G6" s="102"/>
      <c r="H6" s="96">
        <v>1</v>
      </c>
      <c r="I6" s="96"/>
      <c r="J6" s="96">
        <v>2</v>
      </c>
      <c r="K6" s="96"/>
      <c r="L6" s="96">
        <v>3</v>
      </c>
      <c r="M6" s="96"/>
      <c r="N6" s="96">
        <v>4</v>
      </c>
      <c r="O6" s="96"/>
      <c r="P6" s="96">
        <v>5</v>
      </c>
      <c r="Q6" s="96"/>
      <c r="R6" s="96">
        <v>6</v>
      </c>
      <c r="S6" s="96"/>
      <c r="T6" s="96">
        <v>7</v>
      </c>
      <c r="U6" s="96"/>
      <c r="V6" s="96">
        <v>8</v>
      </c>
      <c r="W6" s="96"/>
      <c r="X6" s="96">
        <v>9</v>
      </c>
      <c r="Y6" s="96"/>
      <c r="Z6" s="96">
        <v>10</v>
      </c>
      <c r="AA6" s="96"/>
      <c r="AB6" s="96">
        <v>11</v>
      </c>
      <c r="AC6" s="96"/>
      <c r="AD6" s="96">
        <v>12</v>
      </c>
      <c r="AE6" s="96"/>
      <c r="AF6" s="96">
        <v>13</v>
      </c>
      <c r="AG6" s="96"/>
      <c r="AH6" s="96">
        <v>14</v>
      </c>
      <c r="AI6" s="96"/>
      <c r="AJ6" s="96">
        <v>15</v>
      </c>
      <c r="AK6" s="96"/>
      <c r="AL6" s="96">
        <v>16</v>
      </c>
      <c r="AM6" s="96"/>
      <c r="AN6" s="96">
        <v>17</v>
      </c>
      <c r="AO6" s="96"/>
      <c r="AP6" s="96">
        <v>18</v>
      </c>
      <c r="AQ6" s="96"/>
      <c r="AR6" s="96">
        <v>19</v>
      </c>
      <c r="AS6" s="96"/>
      <c r="AT6" s="96">
        <v>20</v>
      </c>
      <c r="AU6" s="96"/>
      <c r="AV6" s="96">
        <v>21</v>
      </c>
      <c r="AW6" s="96"/>
      <c r="AX6" s="96">
        <v>22</v>
      </c>
      <c r="AY6" s="96"/>
      <c r="AZ6" s="96">
        <v>23</v>
      </c>
      <c r="BA6" s="96"/>
      <c r="BB6" s="96">
        <v>24</v>
      </c>
      <c r="BC6" s="96"/>
      <c r="BD6" s="96">
        <v>25</v>
      </c>
      <c r="BE6" s="96"/>
      <c r="BF6" s="96">
        <v>26</v>
      </c>
      <c r="BG6" s="96"/>
      <c r="BH6" s="96">
        <v>27</v>
      </c>
      <c r="BI6" s="96"/>
      <c r="BJ6" s="96">
        <v>28</v>
      </c>
      <c r="BK6" s="96"/>
      <c r="BL6" s="96">
        <v>29</v>
      </c>
      <c r="BM6" s="96"/>
      <c r="BN6" s="96">
        <v>30</v>
      </c>
      <c r="BO6" s="96"/>
      <c r="BP6" s="96">
        <v>31</v>
      </c>
      <c r="BQ6" s="96"/>
      <c r="BR6" s="96" t="s">
        <v>9</v>
      </c>
      <c r="BS6" s="96"/>
      <c r="BT6" s="4" t="s">
        <v>10</v>
      </c>
      <c r="BU6" s="40" t="s">
        <v>11</v>
      </c>
      <c r="BV6" s="41" t="s">
        <v>13</v>
      </c>
      <c r="BW6" s="42" t="s">
        <v>11</v>
      </c>
      <c r="BX6" s="41" t="s">
        <v>13</v>
      </c>
      <c r="BY6" s="43" t="s">
        <v>11</v>
      </c>
      <c r="BZ6" s="41" t="s">
        <v>12</v>
      </c>
      <c r="CA6" s="41" t="s">
        <v>13</v>
      </c>
      <c r="CB6" s="95" t="s">
        <v>14</v>
      </c>
      <c r="CC6" s="95"/>
      <c r="CD6" s="95" t="s">
        <v>28</v>
      </c>
      <c r="CE6" s="95"/>
      <c r="CF6" s="93"/>
      <c r="CG6" s="94"/>
      <c r="CH6" s="93"/>
      <c r="CI6" s="94"/>
      <c r="CJ6" s="93"/>
      <c r="CK6" s="94"/>
      <c r="CL6" s="103"/>
      <c r="CM6" s="103"/>
    </row>
    <row r="7" spans="1:91" ht="17.25" customHeight="1" x14ac:dyDescent="0.2">
      <c r="A7" s="89"/>
      <c r="B7" s="90"/>
      <c r="C7" s="80"/>
      <c r="D7" s="83"/>
      <c r="E7" s="86"/>
      <c r="F7" s="75" t="s">
        <v>11</v>
      </c>
      <c r="G7" s="41" t="s">
        <v>13</v>
      </c>
      <c r="H7" s="46" t="s">
        <v>11</v>
      </c>
      <c r="I7" s="41" t="s">
        <v>13</v>
      </c>
      <c r="J7" s="46"/>
      <c r="K7" s="41" t="s">
        <v>13</v>
      </c>
      <c r="L7" s="46" t="s">
        <v>11</v>
      </c>
      <c r="M7" s="41" t="s">
        <v>13</v>
      </c>
      <c r="N7" s="46" t="s">
        <v>11</v>
      </c>
      <c r="O7" s="41" t="s">
        <v>13</v>
      </c>
      <c r="P7" s="46" t="s">
        <v>11</v>
      </c>
      <c r="Q7" s="41" t="s">
        <v>13</v>
      </c>
      <c r="R7" s="46" t="s">
        <v>11</v>
      </c>
      <c r="S7" s="41" t="s">
        <v>13</v>
      </c>
      <c r="T7" s="46" t="s">
        <v>11</v>
      </c>
      <c r="U7" s="41" t="s">
        <v>13</v>
      </c>
      <c r="V7" s="46" t="s">
        <v>11</v>
      </c>
      <c r="W7" s="41" t="s">
        <v>13</v>
      </c>
      <c r="X7" s="46" t="s">
        <v>11</v>
      </c>
      <c r="Y7" s="41" t="s">
        <v>13</v>
      </c>
      <c r="Z7" s="46" t="s">
        <v>11</v>
      </c>
      <c r="AA7" s="41" t="s">
        <v>13</v>
      </c>
      <c r="AB7" s="46" t="s">
        <v>11</v>
      </c>
      <c r="AC7" s="41" t="s">
        <v>13</v>
      </c>
      <c r="AD7" s="46" t="s">
        <v>1</v>
      </c>
      <c r="AE7" s="41" t="s">
        <v>13</v>
      </c>
      <c r="AF7" s="47" t="s">
        <v>11</v>
      </c>
      <c r="AG7" s="41" t="s">
        <v>13</v>
      </c>
      <c r="AH7" s="46" t="s">
        <v>11</v>
      </c>
      <c r="AI7" s="41" t="s">
        <v>13</v>
      </c>
      <c r="AJ7" s="46" t="s">
        <v>11</v>
      </c>
      <c r="AK7" s="41" t="s">
        <v>13</v>
      </c>
      <c r="AL7" s="46" t="s">
        <v>11</v>
      </c>
      <c r="AM7" s="41" t="s">
        <v>13</v>
      </c>
      <c r="AN7" s="46" t="s">
        <v>11</v>
      </c>
      <c r="AO7" s="41" t="s">
        <v>13</v>
      </c>
      <c r="AP7" s="46" t="s">
        <v>11</v>
      </c>
      <c r="AQ7" s="41" t="s">
        <v>13</v>
      </c>
      <c r="AR7" s="46" t="s">
        <v>11</v>
      </c>
      <c r="AS7" s="41" t="s">
        <v>13</v>
      </c>
      <c r="AT7" s="46" t="s">
        <v>11</v>
      </c>
      <c r="AU7" s="41" t="s">
        <v>13</v>
      </c>
      <c r="AV7" s="46" t="s">
        <v>11</v>
      </c>
      <c r="AW7" s="41" t="s">
        <v>13</v>
      </c>
      <c r="AX7" s="48" t="s">
        <v>11</v>
      </c>
      <c r="AY7" s="41" t="s">
        <v>13</v>
      </c>
      <c r="AZ7" s="46" t="s">
        <v>11</v>
      </c>
      <c r="BA7" s="41" t="s">
        <v>13</v>
      </c>
      <c r="BB7" s="46" t="s">
        <v>11</v>
      </c>
      <c r="BC7" s="41" t="s">
        <v>13</v>
      </c>
      <c r="BD7" s="45" t="s">
        <v>11</v>
      </c>
      <c r="BE7" s="41" t="s">
        <v>13</v>
      </c>
      <c r="BF7" s="46" t="s">
        <v>11</v>
      </c>
      <c r="BG7" s="49" t="s">
        <v>13</v>
      </c>
      <c r="BH7" s="46" t="s">
        <v>11</v>
      </c>
      <c r="BI7" s="41" t="s">
        <v>13</v>
      </c>
      <c r="BJ7" s="46" t="s">
        <v>11</v>
      </c>
      <c r="BK7" s="41" t="s">
        <v>13</v>
      </c>
      <c r="BL7" s="46" t="s">
        <v>11</v>
      </c>
      <c r="BM7" s="41" t="s">
        <v>13</v>
      </c>
      <c r="BN7" s="46" t="s">
        <v>11</v>
      </c>
      <c r="BO7" s="41" t="s">
        <v>13</v>
      </c>
      <c r="BP7" s="46" t="s">
        <v>11</v>
      </c>
      <c r="BQ7" s="41" t="s">
        <v>13</v>
      </c>
      <c r="BR7" s="46"/>
      <c r="BS7" s="41" t="s">
        <v>13</v>
      </c>
      <c r="BT7" s="50"/>
      <c r="BU7" s="40"/>
      <c r="BV7" s="41"/>
      <c r="BW7" s="42"/>
      <c r="BX7" s="41"/>
      <c r="BY7" s="51"/>
      <c r="BZ7" s="41"/>
      <c r="CA7" s="41"/>
      <c r="CB7" s="41" t="s">
        <v>11</v>
      </c>
      <c r="CC7" s="41" t="s">
        <v>16</v>
      </c>
      <c r="CD7" s="41" t="s">
        <v>11</v>
      </c>
      <c r="CE7" s="41" t="s">
        <v>15</v>
      </c>
      <c r="CF7" s="41" t="s">
        <v>11</v>
      </c>
      <c r="CG7" s="41" t="s">
        <v>13</v>
      </c>
      <c r="CH7" s="52" t="s">
        <v>11</v>
      </c>
      <c r="CI7" s="52" t="s">
        <v>17</v>
      </c>
      <c r="CJ7" s="41" t="s">
        <v>11</v>
      </c>
      <c r="CK7" s="41" t="s">
        <v>13</v>
      </c>
      <c r="CL7" s="76" t="s">
        <v>11</v>
      </c>
      <c r="CM7" s="44" t="s">
        <v>13</v>
      </c>
    </row>
    <row r="8" spans="1:91" ht="15" customHeight="1" x14ac:dyDescent="0.2">
      <c r="A8" s="38"/>
      <c r="B8" s="53"/>
      <c r="C8" s="54"/>
      <c r="D8" s="55"/>
      <c r="E8" s="56"/>
      <c r="F8" s="57"/>
      <c r="G8" s="58"/>
      <c r="H8" s="59"/>
      <c r="I8" s="58"/>
      <c r="J8" s="59"/>
      <c r="K8" s="58"/>
      <c r="L8" s="59"/>
      <c r="M8" s="58"/>
      <c r="N8" s="59"/>
      <c r="O8" s="58"/>
      <c r="P8" s="59"/>
      <c r="Q8" s="58"/>
      <c r="R8" s="59"/>
      <c r="S8" s="58"/>
      <c r="T8" s="59"/>
      <c r="U8" s="58"/>
      <c r="V8" s="59"/>
      <c r="W8" s="58"/>
      <c r="X8" s="59"/>
      <c r="Y8" s="58"/>
      <c r="Z8" s="59"/>
      <c r="AA8" s="58"/>
      <c r="AB8" s="59"/>
      <c r="AC8" s="58"/>
      <c r="AD8" s="59"/>
      <c r="AE8" s="58"/>
      <c r="AF8" s="60"/>
      <c r="AG8" s="58"/>
      <c r="AH8" s="59"/>
      <c r="AI8" s="58"/>
      <c r="AJ8" s="59"/>
      <c r="AK8" s="58"/>
      <c r="AL8" s="59"/>
      <c r="AM8" s="58"/>
      <c r="AN8" s="59"/>
      <c r="AO8" s="58"/>
      <c r="AP8" s="59"/>
      <c r="AQ8" s="58"/>
      <c r="AR8" s="59"/>
      <c r="AS8" s="58"/>
      <c r="AT8" s="59"/>
      <c r="AU8" s="58"/>
      <c r="AV8" s="59"/>
      <c r="AW8" s="58"/>
      <c r="AX8" s="61"/>
      <c r="AY8" s="58"/>
      <c r="AZ8" s="59"/>
      <c r="BA8" s="58"/>
      <c r="BB8" s="59"/>
      <c r="BC8" s="58"/>
      <c r="BD8" s="57"/>
      <c r="BE8" s="58"/>
      <c r="BF8" s="59"/>
      <c r="BG8" s="62"/>
      <c r="BH8" s="59"/>
      <c r="BI8" s="58"/>
      <c r="BJ8" s="59"/>
      <c r="BK8" s="58"/>
      <c r="BL8" s="59"/>
      <c r="BM8" s="58"/>
      <c r="BN8" s="59"/>
      <c r="BO8" s="58"/>
      <c r="BP8" s="59"/>
      <c r="BQ8" s="58"/>
      <c r="BR8" s="59"/>
      <c r="BS8" s="58"/>
      <c r="BT8" s="63"/>
      <c r="BU8" s="64"/>
      <c r="BV8" s="58"/>
      <c r="BW8" s="58"/>
      <c r="BX8" s="58"/>
      <c r="BY8" s="65"/>
      <c r="BZ8" s="58"/>
      <c r="CA8" s="58"/>
      <c r="CB8" s="63"/>
      <c r="CC8" s="63"/>
      <c r="CD8" s="63"/>
      <c r="CE8" s="63"/>
      <c r="CF8" s="63"/>
      <c r="CG8" s="63"/>
      <c r="CH8" s="63"/>
      <c r="CI8" s="63"/>
      <c r="CJ8" s="63"/>
      <c r="CK8" s="63"/>
      <c r="CL8" s="67"/>
      <c r="CM8" s="67"/>
    </row>
    <row r="9" spans="1:91" s="12" customFormat="1" ht="25" customHeight="1" x14ac:dyDescent="0.2">
      <c r="A9" s="5" t="s">
        <v>30</v>
      </c>
      <c r="B9" s="5">
        <v>1</v>
      </c>
      <c r="C9" s="16" t="s">
        <v>18</v>
      </c>
      <c r="D9" s="5" t="s">
        <v>19</v>
      </c>
      <c r="E9" s="6">
        <v>10000</v>
      </c>
      <c r="F9" s="7">
        <v>10</v>
      </c>
      <c r="G9" s="8">
        <f>F9*$E9</f>
        <v>100000</v>
      </c>
      <c r="H9" s="20"/>
      <c r="I9" s="18">
        <f>H9*$E9</f>
        <v>0</v>
      </c>
      <c r="J9" s="20"/>
      <c r="K9" s="18">
        <f t="shared" ref="K9" si="0">J9*$E9</f>
        <v>0</v>
      </c>
      <c r="L9" s="20"/>
      <c r="M9" s="18">
        <f t="shared" ref="M9" si="1">L9*$E9</f>
        <v>0</v>
      </c>
      <c r="N9" s="20"/>
      <c r="O9" s="18">
        <f t="shared" ref="O9" si="2">N9*$E9</f>
        <v>0</v>
      </c>
      <c r="P9" s="20"/>
      <c r="Q9" s="18">
        <f t="shared" ref="Q9" si="3">P9*$E9</f>
        <v>0</v>
      </c>
      <c r="R9" s="20"/>
      <c r="S9" s="18">
        <f t="shared" ref="S9" si="4">R9*$E9</f>
        <v>0</v>
      </c>
      <c r="T9" s="20"/>
      <c r="U9" s="18">
        <f t="shared" ref="U9" si="5">T9*$E9</f>
        <v>0</v>
      </c>
      <c r="V9" s="20"/>
      <c r="W9" s="18">
        <f t="shared" ref="W9" si="6">V9*$E9</f>
        <v>0</v>
      </c>
      <c r="X9" s="20"/>
      <c r="Y9" s="18">
        <f t="shared" ref="Y9:BQ10" si="7">X9*$E9</f>
        <v>0</v>
      </c>
      <c r="Z9" s="20"/>
      <c r="AA9" s="18">
        <f t="shared" ref="AA9" si="8">Z9*$E9</f>
        <v>0</v>
      </c>
      <c r="AB9" s="20"/>
      <c r="AC9" s="18">
        <f t="shared" ref="AC9" si="9">AB9*$E9</f>
        <v>0</v>
      </c>
      <c r="AD9" s="20"/>
      <c r="AE9" s="18">
        <f t="shared" ref="AE9" si="10">AD9*$E9</f>
        <v>0</v>
      </c>
      <c r="AF9" s="20"/>
      <c r="AG9" s="18">
        <f t="shared" ref="AG9" si="11">AF9*$E9</f>
        <v>0</v>
      </c>
      <c r="AH9" s="20"/>
      <c r="AI9" s="18">
        <f t="shared" ref="AI9" si="12">AH9*$E9</f>
        <v>0</v>
      </c>
      <c r="AJ9" s="20"/>
      <c r="AK9" s="18">
        <f t="shared" ref="AK9" si="13">AJ9*$E9</f>
        <v>0</v>
      </c>
      <c r="AL9" s="20"/>
      <c r="AM9" s="18">
        <f t="shared" ref="AM9" si="14">AL9*$E9</f>
        <v>0</v>
      </c>
      <c r="AN9" s="20"/>
      <c r="AO9" s="18">
        <f t="shared" ref="AO9" si="15">AN9*$E9</f>
        <v>0</v>
      </c>
      <c r="AP9" s="20"/>
      <c r="AQ9" s="18">
        <f t="shared" ref="AQ9" si="16">AP9*$E9</f>
        <v>0</v>
      </c>
      <c r="AR9" s="20"/>
      <c r="AS9" s="18">
        <f t="shared" ref="AS9" si="17">AR9*$E9</f>
        <v>0</v>
      </c>
      <c r="AT9" s="20"/>
      <c r="AU9" s="18">
        <f t="shared" ref="AU9" si="18">AT9*$E9</f>
        <v>0</v>
      </c>
      <c r="AV9" s="20"/>
      <c r="AW9" s="18">
        <f t="shared" ref="AW9" si="19">AV9*$E9</f>
        <v>0</v>
      </c>
      <c r="AX9" s="20"/>
      <c r="AY9" s="18">
        <f t="shared" ref="AY9" si="20">AX9*$E9</f>
        <v>0</v>
      </c>
      <c r="AZ9" s="20"/>
      <c r="BA9" s="18">
        <f t="shared" ref="BA9" si="21">AZ9*$E9</f>
        <v>0</v>
      </c>
      <c r="BB9" s="20"/>
      <c r="BC9" s="18">
        <f t="shared" ref="BC9" si="22">BB9*$E9</f>
        <v>0</v>
      </c>
      <c r="BD9" s="20"/>
      <c r="BE9" s="18">
        <f t="shared" ref="BE9" si="23">BD9*$E9</f>
        <v>0</v>
      </c>
      <c r="BF9" s="20"/>
      <c r="BG9" s="18">
        <f t="shared" ref="BG9" si="24">BF9*$E9</f>
        <v>0</v>
      </c>
      <c r="BH9" s="20"/>
      <c r="BI9" s="18">
        <f t="shared" ref="BI9" si="25">BH9*$E9</f>
        <v>0</v>
      </c>
      <c r="BJ9" s="20"/>
      <c r="BK9" s="18">
        <f t="shared" ref="BK9" si="26">BJ9*$E9</f>
        <v>0</v>
      </c>
      <c r="BL9" s="20"/>
      <c r="BM9" s="18">
        <f t="shared" ref="BM9" si="27">BL9*$E9</f>
        <v>0</v>
      </c>
      <c r="BN9" s="20"/>
      <c r="BO9" s="18">
        <f t="shared" ref="BO9" si="28">BN9*$E9</f>
        <v>0</v>
      </c>
      <c r="BP9" s="20"/>
      <c r="BQ9" s="18">
        <f t="shared" ref="BQ9" si="29">BP9*$E9</f>
        <v>0</v>
      </c>
      <c r="BR9" s="9"/>
      <c r="BS9" s="18">
        <f t="shared" ref="BS9" si="30">BR9*$E9</f>
        <v>0</v>
      </c>
      <c r="BT9" s="19">
        <f>BU9/24</f>
        <v>0</v>
      </c>
      <c r="BU9" s="22" cm="1">
        <f t="array" ref="BU9">SUM(_xlfn._xlws.FILTER($H9:$BQ9, MOD(COLUMN($H9:$BQ9)-COLUMN($H9),3)=0))</f>
        <v>0</v>
      </c>
      <c r="BV9" s="18">
        <f>BU9*$E9</f>
        <v>0</v>
      </c>
      <c r="BW9" s="11"/>
      <c r="BX9" s="18">
        <f>BW9*$E9</f>
        <v>0</v>
      </c>
      <c r="BY9" s="74">
        <f>BW9</f>
        <v>0</v>
      </c>
      <c r="BZ9" s="10"/>
      <c r="CA9" s="13">
        <f>BY9*BZ9</f>
        <v>0</v>
      </c>
      <c r="CB9" s="5"/>
      <c r="CC9" s="13">
        <f>CB9*$E9</f>
        <v>0</v>
      </c>
      <c r="CD9" s="5"/>
      <c r="CE9" s="13">
        <f>CD9*$E9</f>
        <v>0</v>
      </c>
      <c r="CF9" s="5"/>
      <c r="CG9" s="13">
        <f t="shared" ref="CG9" si="31">CF9*$E9</f>
        <v>0</v>
      </c>
      <c r="CH9" s="5"/>
      <c r="CI9" s="13">
        <f t="shared" ref="CI9" si="32">CH9*$E9</f>
        <v>0</v>
      </c>
      <c r="CJ9" s="5"/>
      <c r="CK9" s="13">
        <f t="shared" ref="CK9" si="33">CJ9*$E9</f>
        <v>0</v>
      </c>
      <c r="CL9" s="77"/>
      <c r="CM9" s="13">
        <f>CL9*$E9</f>
        <v>0</v>
      </c>
    </row>
    <row r="10" spans="1:91" s="12" customFormat="1" ht="25" customHeight="1" x14ac:dyDescent="0.2">
      <c r="A10" s="5" t="s">
        <v>31</v>
      </c>
      <c r="B10" s="5">
        <v>2</v>
      </c>
      <c r="C10" s="16" t="s">
        <v>18</v>
      </c>
      <c r="D10" s="5" t="s">
        <v>19</v>
      </c>
      <c r="E10" s="6"/>
      <c r="F10" s="7"/>
      <c r="G10" s="8">
        <f t="shared" ref="G10:G16" si="34">F10*$E10</f>
        <v>0</v>
      </c>
      <c r="H10" s="21"/>
      <c r="I10" s="18">
        <f t="shared" ref="I10:W16" si="35">H10*$E10</f>
        <v>0</v>
      </c>
      <c r="J10" s="21"/>
      <c r="K10" s="18">
        <f t="shared" si="35"/>
        <v>0</v>
      </c>
      <c r="L10" s="21"/>
      <c r="M10" s="18">
        <f t="shared" si="35"/>
        <v>0</v>
      </c>
      <c r="N10" s="21"/>
      <c r="O10" s="18">
        <f t="shared" si="35"/>
        <v>0</v>
      </c>
      <c r="P10" s="21"/>
      <c r="Q10" s="18">
        <f t="shared" si="35"/>
        <v>0</v>
      </c>
      <c r="R10" s="21"/>
      <c r="S10" s="18">
        <f t="shared" si="35"/>
        <v>0</v>
      </c>
      <c r="T10" s="21"/>
      <c r="U10" s="18">
        <f t="shared" si="35"/>
        <v>0</v>
      </c>
      <c r="V10" s="21"/>
      <c r="W10" s="18">
        <f t="shared" si="35"/>
        <v>0</v>
      </c>
      <c r="X10" s="21"/>
      <c r="Y10" s="18">
        <f t="shared" si="7"/>
        <v>0</v>
      </c>
      <c r="Z10" s="21"/>
      <c r="AA10" s="18">
        <f t="shared" si="7"/>
        <v>0</v>
      </c>
      <c r="AB10" s="21"/>
      <c r="AC10" s="18">
        <f t="shared" si="7"/>
        <v>0</v>
      </c>
      <c r="AD10" s="21"/>
      <c r="AE10" s="18">
        <f t="shared" si="7"/>
        <v>0</v>
      </c>
      <c r="AF10" s="21"/>
      <c r="AG10" s="18">
        <f t="shared" si="7"/>
        <v>0</v>
      </c>
      <c r="AH10" s="21"/>
      <c r="AI10" s="18">
        <f t="shared" si="7"/>
        <v>0</v>
      </c>
      <c r="AJ10" s="21"/>
      <c r="AK10" s="18">
        <f t="shared" si="7"/>
        <v>0</v>
      </c>
      <c r="AL10" s="21"/>
      <c r="AM10" s="18">
        <f t="shared" si="7"/>
        <v>0</v>
      </c>
      <c r="AN10" s="21"/>
      <c r="AO10" s="18">
        <f t="shared" si="7"/>
        <v>0</v>
      </c>
      <c r="AP10" s="21"/>
      <c r="AQ10" s="18">
        <f t="shared" si="7"/>
        <v>0</v>
      </c>
      <c r="AR10" s="21"/>
      <c r="AS10" s="18">
        <f t="shared" si="7"/>
        <v>0</v>
      </c>
      <c r="AT10" s="21"/>
      <c r="AU10" s="18">
        <f t="shared" si="7"/>
        <v>0</v>
      </c>
      <c r="AV10" s="21"/>
      <c r="AW10" s="18">
        <f t="shared" si="7"/>
        <v>0</v>
      </c>
      <c r="AX10" s="21"/>
      <c r="AY10" s="18">
        <f t="shared" si="7"/>
        <v>0</v>
      </c>
      <c r="AZ10" s="21"/>
      <c r="BA10" s="18">
        <f t="shared" si="7"/>
        <v>0</v>
      </c>
      <c r="BB10" s="21"/>
      <c r="BC10" s="18">
        <f t="shared" si="7"/>
        <v>0</v>
      </c>
      <c r="BD10" s="21"/>
      <c r="BE10" s="18">
        <f t="shared" si="7"/>
        <v>0</v>
      </c>
      <c r="BF10" s="21"/>
      <c r="BG10" s="18">
        <f t="shared" si="7"/>
        <v>0</v>
      </c>
      <c r="BH10" s="21"/>
      <c r="BI10" s="18">
        <f t="shared" si="7"/>
        <v>0</v>
      </c>
      <c r="BJ10" s="21"/>
      <c r="BK10" s="18">
        <f t="shared" si="7"/>
        <v>0</v>
      </c>
      <c r="BL10" s="21"/>
      <c r="BM10" s="18">
        <f t="shared" si="7"/>
        <v>0</v>
      </c>
      <c r="BN10" s="21"/>
      <c r="BO10" s="18">
        <f t="shared" si="7"/>
        <v>0</v>
      </c>
      <c r="BP10" s="21"/>
      <c r="BQ10" s="18">
        <f t="shared" si="7"/>
        <v>0</v>
      </c>
      <c r="BR10" s="14"/>
      <c r="BS10" s="18">
        <f t="shared" ref="BS10" si="36">BR10*$E10</f>
        <v>0</v>
      </c>
      <c r="BT10" s="19">
        <f t="shared" ref="BT10:BT16" si="37">BU10/24</f>
        <v>0</v>
      </c>
      <c r="BU10" s="22" cm="1">
        <f t="array" ref="BU10">SUM(_xlfn._xlws.FILTER($H10:$BQ10, MOD(COLUMN($H10:$BQ10)-COLUMN($H10),3)=0))</f>
        <v>0</v>
      </c>
      <c r="BV10" s="18">
        <f t="shared" ref="BV10:BV16" si="38">BU10*$E10</f>
        <v>0</v>
      </c>
      <c r="BW10" s="15"/>
      <c r="BX10" s="18">
        <f t="shared" ref="BX10:BX16" si="39">BW10*$E10</f>
        <v>0</v>
      </c>
      <c r="BY10" s="74">
        <f>BW10</f>
        <v>0</v>
      </c>
      <c r="BZ10" s="10"/>
      <c r="CA10" s="13">
        <f>BY10*BZ10</f>
        <v>0</v>
      </c>
      <c r="CB10" s="5"/>
      <c r="CC10" s="13">
        <f t="shared" ref="CC10:CE16" si="40">CB10*$E10</f>
        <v>0</v>
      </c>
      <c r="CD10" s="5"/>
      <c r="CE10" s="13">
        <f t="shared" si="40"/>
        <v>0</v>
      </c>
      <c r="CF10" s="5"/>
      <c r="CG10" s="13">
        <f t="shared" ref="CG10" si="41">CF10*$E10</f>
        <v>0</v>
      </c>
      <c r="CH10" s="5"/>
      <c r="CI10" s="13">
        <f t="shared" ref="CI10" si="42">CH10*$E10</f>
        <v>0</v>
      </c>
      <c r="CJ10" s="5"/>
      <c r="CK10" s="13">
        <f t="shared" ref="CK10" si="43">CJ10*$E10</f>
        <v>0</v>
      </c>
      <c r="CL10" s="77"/>
      <c r="CM10" s="13">
        <f t="shared" ref="CM10:CM16" si="44">CL10*$E10</f>
        <v>0</v>
      </c>
    </row>
    <row r="11" spans="1:91" s="12" customFormat="1" ht="25" customHeight="1" x14ac:dyDescent="0.2">
      <c r="A11" s="5" t="s">
        <v>32</v>
      </c>
      <c r="B11" s="5">
        <v>3</v>
      </c>
      <c r="C11" s="16" t="s">
        <v>20</v>
      </c>
      <c r="D11" s="5" t="s">
        <v>19</v>
      </c>
      <c r="E11" s="6">
        <v>6958</v>
      </c>
      <c r="F11" s="7"/>
      <c r="G11" s="8">
        <f t="shared" si="34"/>
        <v>0</v>
      </c>
      <c r="H11" s="21"/>
      <c r="I11" s="18">
        <f t="shared" si="35"/>
        <v>0</v>
      </c>
      <c r="J11" s="21"/>
      <c r="K11" s="18">
        <f t="shared" ref="K11:BQ16" si="45">J11*$E11</f>
        <v>0</v>
      </c>
      <c r="L11" s="21"/>
      <c r="M11" s="18">
        <f t="shared" si="45"/>
        <v>0</v>
      </c>
      <c r="N11" s="21"/>
      <c r="O11" s="18">
        <f t="shared" si="45"/>
        <v>0</v>
      </c>
      <c r="P11" s="21"/>
      <c r="Q11" s="18">
        <f t="shared" si="45"/>
        <v>0</v>
      </c>
      <c r="R11" s="21"/>
      <c r="S11" s="18">
        <f t="shared" si="45"/>
        <v>0</v>
      </c>
      <c r="T11" s="21"/>
      <c r="U11" s="18">
        <f t="shared" si="45"/>
        <v>0</v>
      </c>
      <c r="V11" s="21"/>
      <c r="W11" s="18">
        <f t="shared" si="45"/>
        <v>0</v>
      </c>
      <c r="X11" s="21"/>
      <c r="Y11" s="18">
        <f t="shared" si="45"/>
        <v>0</v>
      </c>
      <c r="Z11" s="21"/>
      <c r="AA11" s="18">
        <f t="shared" si="45"/>
        <v>0</v>
      </c>
      <c r="AB11" s="21"/>
      <c r="AC11" s="18">
        <f t="shared" si="45"/>
        <v>0</v>
      </c>
      <c r="AD11" s="21"/>
      <c r="AE11" s="18">
        <f t="shared" si="45"/>
        <v>0</v>
      </c>
      <c r="AF11" s="21"/>
      <c r="AG11" s="18">
        <f t="shared" si="45"/>
        <v>0</v>
      </c>
      <c r="AH11" s="21"/>
      <c r="AI11" s="18">
        <f t="shared" si="45"/>
        <v>0</v>
      </c>
      <c r="AJ11" s="21"/>
      <c r="AK11" s="18">
        <f t="shared" si="45"/>
        <v>0</v>
      </c>
      <c r="AL11" s="21"/>
      <c r="AM11" s="18">
        <f t="shared" si="45"/>
        <v>0</v>
      </c>
      <c r="AN11" s="21"/>
      <c r="AO11" s="18">
        <f t="shared" si="45"/>
        <v>0</v>
      </c>
      <c r="AP11" s="21"/>
      <c r="AQ11" s="18">
        <f t="shared" si="45"/>
        <v>0</v>
      </c>
      <c r="AR11" s="21"/>
      <c r="AS11" s="18">
        <f t="shared" si="45"/>
        <v>0</v>
      </c>
      <c r="AT11" s="21"/>
      <c r="AU11" s="18">
        <f t="shared" si="45"/>
        <v>0</v>
      </c>
      <c r="AV11" s="21"/>
      <c r="AW11" s="18">
        <f t="shared" si="45"/>
        <v>0</v>
      </c>
      <c r="AX11" s="21"/>
      <c r="AY11" s="18">
        <f t="shared" si="45"/>
        <v>0</v>
      </c>
      <c r="AZ11" s="21"/>
      <c r="BA11" s="18">
        <f t="shared" si="45"/>
        <v>0</v>
      </c>
      <c r="BB11" s="21"/>
      <c r="BC11" s="18">
        <f t="shared" si="45"/>
        <v>0</v>
      </c>
      <c r="BD11" s="21"/>
      <c r="BE11" s="18">
        <f t="shared" si="45"/>
        <v>0</v>
      </c>
      <c r="BF11" s="21"/>
      <c r="BG11" s="18">
        <f t="shared" si="45"/>
        <v>0</v>
      </c>
      <c r="BH11" s="21"/>
      <c r="BI11" s="18">
        <f t="shared" si="45"/>
        <v>0</v>
      </c>
      <c r="BJ11" s="21"/>
      <c r="BK11" s="18">
        <f t="shared" si="45"/>
        <v>0</v>
      </c>
      <c r="BL11" s="21"/>
      <c r="BM11" s="18">
        <f t="shared" si="45"/>
        <v>0</v>
      </c>
      <c r="BN11" s="21"/>
      <c r="BO11" s="18">
        <f t="shared" si="45"/>
        <v>0</v>
      </c>
      <c r="BP11" s="21"/>
      <c r="BQ11" s="18">
        <f t="shared" si="45"/>
        <v>0</v>
      </c>
      <c r="BR11" s="14"/>
      <c r="BS11" s="18">
        <f t="shared" ref="BS11" si="46">BR11*$E11</f>
        <v>0</v>
      </c>
      <c r="BT11" s="19">
        <f t="shared" si="37"/>
        <v>0</v>
      </c>
      <c r="BU11" s="22" cm="1">
        <f t="array" ref="BU11">SUM(_xlfn._xlws.FILTER($H11:$BQ11, MOD(COLUMN($H11:$BQ11)-COLUMN($H11),3)=0))</f>
        <v>0</v>
      </c>
      <c r="BV11" s="18">
        <f t="shared" si="38"/>
        <v>0</v>
      </c>
      <c r="BW11" s="15"/>
      <c r="BX11" s="18">
        <f t="shared" si="39"/>
        <v>0</v>
      </c>
      <c r="BY11" s="74">
        <f t="shared" ref="BY11:BY16" si="47">BW11</f>
        <v>0</v>
      </c>
      <c r="BZ11" s="10"/>
      <c r="CA11" s="13">
        <f t="shared" ref="CA11:CA16" si="48">BY11*BZ11</f>
        <v>0</v>
      </c>
      <c r="CB11" s="5"/>
      <c r="CC11" s="13">
        <f t="shared" si="40"/>
        <v>0</v>
      </c>
      <c r="CD11" s="5"/>
      <c r="CE11" s="13">
        <f t="shared" si="40"/>
        <v>0</v>
      </c>
      <c r="CF11" s="5"/>
      <c r="CG11" s="13">
        <f t="shared" ref="CG11" si="49">CF11*$E11</f>
        <v>0</v>
      </c>
      <c r="CH11" s="5"/>
      <c r="CI11" s="13">
        <f t="shared" ref="CI11" si="50">CH11*$E11</f>
        <v>0</v>
      </c>
      <c r="CJ11" s="5"/>
      <c r="CK11" s="13">
        <f t="shared" ref="CK11" si="51">CJ11*$E11</f>
        <v>0</v>
      </c>
      <c r="CL11" s="77">
        <v>125</v>
      </c>
      <c r="CM11" s="13">
        <f t="shared" si="44"/>
        <v>869750</v>
      </c>
    </row>
    <row r="12" spans="1:91" s="12" customFormat="1" ht="25" customHeight="1" x14ac:dyDescent="0.2">
      <c r="A12" s="5" t="s">
        <v>33</v>
      </c>
      <c r="B12" s="5">
        <v>4</v>
      </c>
      <c r="C12" s="16" t="s">
        <v>21</v>
      </c>
      <c r="D12" s="5" t="s">
        <v>19</v>
      </c>
      <c r="E12" s="6"/>
      <c r="F12" s="7"/>
      <c r="G12" s="8">
        <f t="shared" si="34"/>
        <v>0</v>
      </c>
      <c r="H12" s="21"/>
      <c r="I12" s="18">
        <f t="shared" si="35"/>
        <v>0</v>
      </c>
      <c r="J12" s="21"/>
      <c r="K12" s="18">
        <f t="shared" si="45"/>
        <v>0</v>
      </c>
      <c r="L12" s="21"/>
      <c r="M12" s="18">
        <f t="shared" si="45"/>
        <v>0</v>
      </c>
      <c r="N12" s="21"/>
      <c r="O12" s="18">
        <f t="shared" si="45"/>
        <v>0</v>
      </c>
      <c r="P12" s="21"/>
      <c r="Q12" s="18">
        <f t="shared" si="45"/>
        <v>0</v>
      </c>
      <c r="R12" s="21"/>
      <c r="S12" s="18">
        <f t="shared" si="45"/>
        <v>0</v>
      </c>
      <c r="T12" s="21"/>
      <c r="U12" s="18">
        <f t="shared" si="45"/>
        <v>0</v>
      </c>
      <c r="V12" s="21"/>
      <c r="W12" s="18">
        <f t="shared" si="45"/>
        <v>0</v>
      </c>
      <c r="X12" s="21"/>
      <c r="Y12" s="18">
        <f t="shared" si="45"/>
        <v>0</v>
      </c>
      <c r="Z12" s="21"/>
      <c r="AA12" s="18">
        <f t="shared" si="45"/>
        <v>0</v>
      </c>
      <c r="AB12" s="21"/>
      <c r="AC12" s="18">
        <f t="shared" si="45"/>
        <v>0</v>
      </c>
      <c r="AD12" s="21"/>
      <c r="AE12" s="18">
        <f t="shared" si="45"/>
        <v>0</v>
      </c>
      <c r="AF12" s="21"/>
      <c r="AG12" s="18">
        <f t="shared" si="45"/>
        <v>0</v>
      </c>
      <c r="AH12" s="21"/>
      <c r="AI12" s="18">
        <f t="shared" si="45"/>
        <v>0</v>
      </c>
      <c r="AJ12" s="21"/>
      <c r="AK12" s="18">
        <f t="shared" si="45"/>
        <v>0</v>
      </c>
      <c r="AL12" s="21"/>
      <c r="AM12" s="18">
        <f t="shared" si="45"/>
        <v>0</v>
      </c>
      <c r="AN12" s="21"/>
      <c r="AO12" s="18">
        <f t="shared" si="45"/>
        <v>0</v>
      </c>
      <c r="AP12" s="21"/>
      <c r="AQ12" s="18">
        <f t="shared" si="45"/>
        <v>0</v>
      </c>
      <c r="AR12" s="21"/>
      <c r="AS12" s="18">
        <f t="shared" si="45"/>
        <v>0</v>
      </c>
      <c r="AT12" s="21"/>
      <c r="AU12" s="18">
        <f t="shared" si="45"/>
        <v>0</v>
      </c>
      <c r="AV12" s="21"/>
      <c r="AW12" s="18">
        <f t="shared" si="45"/>
        <v>0</v>
      </c>
      <c r="AX12" s="21"/>
      <c r="AY12" s="18">
        <f t="shared" si="45"/>
        <v>0</v>
      </c>
      <c r="AZ12" s="21"/>
      <c r="BA12" s="18">
        <f t="shared" si="45"/>
        <v>0</v>
      </c>
      <c r="BB12" s="21"/>
      <c r="BC12" s="18">
        <f t="shared" si="45"/>
        <v>0</v>
      </c>
      <c r="BD12" s="21"/>
      <c r="BE12" s="18">
        <f t="shared" si="45"/>
        <v>0</v>
      </c>
      <c r="BF12" s="21"/>
      <c r="BG12" s="18">
        <f t="shared" si="45"/>
        <v>0</v>
      </c>
      <c r="BH12" s="21"/>
      <c r="BI12" s="18">
        <f t="shared" si="45"/>
        <v>0</v>
      </c>
      <c r="BJ12" s="21"/>
      <c r="BK12" s="18">
        <f t="shared" si="45"/>
        <v>0</v>
      </c>
      <c r="BL12" s="21"/>
      <c r="BM12" s="18">
        <f t="shared" si="45"/>
        <v>0</v>
      </c>
      <c r="BN12" s="21"/>
      <c r="BO12" s="18">
        <f t="shared" si="45"/>
        <v>0</v>
      </c>
      <c r="BP12" s="21"/>
      <c r="BQ12" s="18">
        <f t="shared" si="45"/>
        <v>0</v>
      </c>
      <c r="BR12" s="14"/>
      <c r="BS12" s="18">
        <f t="shared" ref="BS12" si="52">BR12*$E12</f>
        <v>0</v>
      </c>
      <c r="BT12" s="19">
        <f t="shared" si="37"/>
        <v>0</v>
      </c>
      <c r="BU12" s="22" cm="1">
        <f t="array" ref="BU12">SUM(_xlfn._xlws.FILTER($H12:$BQ12, MOD(COLUMN($H12:$BQ12)-COLUMN($H12),3)=0))</f>
        <v>0</v>
      </c>
      <c r="BV12" s="18">
        <f t="shared" si="38"/>
        <v>0</v>
      </c>
      <c r="BW12" s="15"/>
      <c r="BX12" s="18">
        <f t="shared" si="39"/>
        <v>0</v>
      </c>
      <c r="BY12" s="74">
        <f t="shared" si="47"/>
        <v>0</v>
      </c>
      <c r="BZ12" s="10"/>
      <c r="CA12" s="13">
        <f t="shared" si="48"/>
        <v>0</v>
      </c>
      <c r="CB12" s="5"/>
      <c r="CC12" s="13">
        <f t="shared" si="40"/>
        <v>0</v>
      </c>
      <c r="CD12" s="5"/>
      <c r="CE12" s="13">
        <f t="shared" si="40"/>
        <v>0</v>
      </c>
      <c r="CF12" s="5"/>
      <c r="CG12" s="13">
        <f t="shared" ref="CG12" si="53">CF12*$E12</f>
        <v>0</v>
      </c>
      <c r="CH12" s="5"/>
      <c r="CI12" s="13">
        <f t="shared" ref="CI12" si="54">CH12*$E12</f>
        <v>0</v>
      </c>
      <c r="CJ12" s="5"/>
      <c r="CK12" s="13">
        <f t="shared" ref="CK12" si="55">CJ12*$E12</f>
        <v>0</v>
      </c>
      <c r="CL12" s="77"/>
      <c r="CM12" s="13">
        <f t="shared" si="44"/>
        <v>0</v>
      </c>
    </row>
    <row r="13" spans="1:91" s="12" customFormat="1" ht="25" customHeight="1" x14ac:dyDescent="0.2">
      <c r="A13" s="5" t="s">
        <v>34</v>
      </c>
      <c r="B13" s="5">
        <v>5</v>
      </c>
      <c r="C13" s="16" t="s">
        <v>22</v>
      </c>
      <c r="D13" s="5" t="s">
        <v>19</v>
      </c>
      <c r="E13" s="6">
        <v>5208</v>
      </c>
      <c r="F13" s="7"/>
      <c r="G13" s="8">
        <f t="shared" si="34"/>
        <v>0</v>
      </c>
      <c r="H13" s="21"/>
      <c r="I13" s="18">
        <f t="shared" si="35"/>
        <v>0</v>
      </c>
      <c r="J13" s="21"/>
      <c r="K13" s="18">
        <f t="shared" si="45"/>
        <v>0</v>
      </c>
      <c r="L13" s="21"/>
      <c r="M13" s="18">
        <f t="shared" si="45"/>
        <v>0</v>
      </c>
      <c r="N13" s="21"/>
      <c r="O13" s="18">
        <f t="shared" si="45"/>
        <v>0</v>
      </c>
      <c r="P13" s="21"/>
      <c r="Q13" s="18">
        <f t="shared" si="45"/>
        <v>0</v>
      </c>
      <c r="R13" s="21"/>
      <c r="S13" s="18">
        <f t="shared" si="45"/>
        <v>0</v>
      </c>
      <c r="T13" s="21"/>
      <c r="U13" s="18">
        <f t="shared" si="45"/>
        <v>0</v>
      </c>
      <c r="V13" s="21"/>
      <c r="W13" s="18">
        <f t="shared" si="45"/>
        <v>0</v>
      </c>
      <c r="X13" s="21"/>
      <c r="Y13" s="18">
        <f t="shared" si="45"/>
        <v>0</v>
      </c>
      <c r="Z13" s="21"/>
      <c r="AA13" s="18">
        <f t="shared" si="45"/>
        <v>0</v>
      </c>
      <c r="AB13" s="21"/>
      <c r="AC13" s="18">
        <f t="shared" si="45"/>
        <v>0</v>
      </c>
      <c r="AD13" s="21"/>
      <c r="AE13" s="18">
        <f t="shared" si="45"/>
        <v>0</v>
      </c>
      <c r="AF13" s="21"/>
      <c r="AG13" s="18">
        <f t="shared" si="45"/>
        <v>0</v>
      </c>
      <c r="AH13" s="21"/>
      <c r="AI13" s="18">
        <f t="shared" si="45"/>
        <v>0</v>
      </c>
      <c r="AJ13" s="21"/>
      <c r="AK13" s="18">
        <f t="shared" si="45"/>
        <v>0</v>
      </c>
      <c r="AL13" s="21"/>
      <c r="AM13" s="18">
        <f t="shared" si="45"/>
        <v>0</v>
      </c>
      <c r="AN13" s="21"/>
      <c r="AO13" s="18">
        <f t="shared" si="45"/>
        <v>0</v>
      </c>
      <c r="AP13" s="21"/>
      <c r="AQ13" s="18">
        <f t="shared" si="45"/>
        <v>0</v>
      </c>
      <c r="AR13" s="21"/>
      <c r="AS13" s="18">
        <f t="shared" si="45"/>
        <v>0</v>
      </c>
      <c r="AT13" s="21"/>
      <c r="AU13" s="18">
        <f t="shared" si="45"/>
        <v>0</v>
      </c>
      <c r="AV13" s="21"/>
      <c r="AW13" s="18">
        <f t="shared" si="45"/>
        <v>0</v>
      </c>
      <c r="AX13" s="21"/>
      <c r="AY13" s="18">
        <f t="shared" si="45"/>
        <v>0</v>
      </c>
      <c r="AZ13" s="21"/>
      <c r="BA13" s="18">
        <f t="shared" si="45"/>
        <v>0</v>
      </c>
      <c r="BB13" s="21"/>
      <c r="BC13" s="18">
        <f t="shared" si="45"/>
        <v>0</v>
      </c>
      <c r="BD13" s="21"/>
      <c r="BE13" s="18">
        <f t="shared" si="45"/>
        <v>0</v>
      </c>
      <c r="BF13" s="21"/>
      <c r="BG13" s="18">
        <f t="shared" si="45"/>
        <v>0</v>
      </c>
      <c r="BH13" s="21"/>
      <c r="BI13" s="18">
        <f t="shared" si="45"/>
        <v>0</v>
      </c>
      <c r="BJ13" s="21"/>
      <c r="BK13" s="18">
        <f t="shared" si="45"/>
        <v>0</v>
      </c>
      <c r="BL13" s="21"/>
      <c r="BM13" s="18">
        <f t="shared" si="45"/>
        <v>0</v>
      </c>
      <c r="BN13" s="21"/>
      <c r="BO13" s="18">
        <f t="shared" si="45"/>
        <v>0</v>
      </c>
      <c r="BP13" s="21"/>
      <c r="BQ13" s="18">
        <f t="shared" si="45"/>
        <v>0</v>
      </c>
      <c r="BR13" s="14"/>
      <c r="BS13" s="18">
        <f t="shared" ref="BS13" si="56">BR13*$E13</f>
        <v>0</v>
      </c>
      <c r="BT13" s="19">
        <f t="shared" si="37"/>
        <v>0</v>
      </c>
      <c r="BU13" s="22" cm="1">
        <f t="array" ref="BU13">SUM(_xlfn._xlws.FILTER($H13:$BQ13, MOD(COLUMN($H13:$BQ13)-COLUMN($H13),3)=0))</f>
        <v>0</v>
      </c>
      <c r="BV13" s="18">
        <f t="shared" si="38"/>
        <v>0</v>
      </c>
      <c r="BW13" s="15"/>
      <c r="BX13" s="18">
        <f t="shared" si="39"/>
        <v>0</v>
      </c>
      <c r="BY13" s="74">
        <f t="shared" si="47"/>
        <v>0</v>
      </c>
      <c r="BZ13" s="10"/>
      <c r="CA13" s="13">
        <f t="shared" si="48"/>
        <v>0</v>
      </c>
      <c r="CB13" s="5"/>
      <c r="CC13" s="13">
        <f t="shared" si="40"/>
        <v>0</v>
      </c>
      <c r="CD13" s="5"/>
      <c r="CE13" s="13">
        <f t="shared" si="40"/>
        <v>0</v>
      </c>
      <c r="CF13" s="5"/>
      <c r="CG13" s="13">
        <f t="shared" ref="CG13" si="57">CF13*$E13</f>
        <v>0</v>
      </c>
      <c r="CH13" s="5"/>
      <c r="CI13" s="13">
        <f t="shared" ref="CI13" si="58">CH13*$E13</f>
        <v>0</v>
      </c>
      <c r="CJ13" s="5"/>
      <c r="CK13" s="13">
        <f t="shared" ref="CK13" si="59">CJ13*$E13</f>
        <v>0</v>
      </c>
      <c r="CL13" s="77">
        <v>72</v>
      </c>
      <c r="CM13" s="13">
        <f t="shared" si="44"/>
        <v>374976</v>
      </c>
    </row>
    <row r="14" spans="1:91" s="12" customFormat="1" ht="25" customHeight="1" x14ac:dyDescent="0.2">
      <c r="A14" s="5" t="s">
        <v>35</v>
      </c>
      <c r="B14" s="5">
        <v>6</v>
      </c>
      <c r="C14" s="16" t="s">
        <v>22</v>
      </c>
      <c r="D14" s="5" t="s">
        <v>19</v>
      </c>
      <c r="E14" s="6"/>
      <c r="F14" s="7"/>
      <c r="G14" s="8">
        <f t="shared" si="34"/>
        <v>0</v>
      </c>
      <c r="H14" s="21"/>
      <c r="I14" s="18">
        <f t="shared" si="35"/>
        <v>0</v>
      </c>
      <c r="J14" s="21"/>
      <c r="K14" s="18">
        <f t="shared" si="45"/>
        <v>0</v>
      </c>
      <c r="L14" s="21"/>
      <c r="M14" s="18">
        <f t="shared" si="45"/>
        <v>0</v>
      </c>
      <c r="N14" s="21"/>
      <c r="O14" s="18">
        <f t="shared" si="45"/>
        <v>0</v>
      </c>
      <c r="P14" s="21"/>
      <c r="Q14" s="18">
        <f t="shared" si="45"/>
        <v>0</v>
      </c>
      <c r="R14" s="21"/>
      <c r="S14" s="18">
        <f t="shared" si="45"/>
        <v>0</v>
      </c>
      <c r="T14" s="21"/>
      <c r="U14" s="18">
        <f t="shared" si="45"/>
        <v>0</v>
      </c>
      <c r="V14" s="21"/>
      <c r="W14" s="18">
        <f t="shared" si="45"/>
        <v>0</v>
      </c>
      <c r="X14" s="21"/>
      <c r="Y14" s="18">
        <f t="shared" si="45"/>
        <v>0</v>
      </c>
      <c r="Z14" s="21"/>
      <c r="AA14" s="18">
        <f t="shared" si="45"/>
        <v>0</v>
      </c>
      <c r="AB14" s="21"/>
      <c r="AC14" s="18">
        <f t="shared" si="45"/>
        <v>0</v>
      </c>
      <c r="AD14" s="21"/>
      <c r="AE14" s="18">
        <f t="shared" si="45"/>
        <v>0</v>
      </c>
      <c r="AF14" s="21"/>
      <c r="AG14" s="18">
        <f t="shared" si="45"/>
        <v>0</v>
      </c>
      <c r="AH14" s="21"/>
      <c r="AI14" s="18">
        <f t="shared" si="45"/>
        <v>0</v>
      </c>
      <c r="AJ14" s="21"/>
      <c r="AK14" s="18">
        <f t="shared" si="45"/>
        <v>0</v>
      </c>
      <c r="AL14" s="21"/>
      <c r="AM14" s="18">
        <f t="shared" si="45"/>
        <v>0</v>
      </c>
      <c r="AN14" s="21"/>
      <c r="AO14" s="18">
        <f t="shared" si="45"/>
        <v>0</v>
      </c>
      <c r="AP14" s="21"/>
      <c r="AQ14" s="18">
        <f t="shared" si="45"/>
        <v>0</v>
      </c>
      <c r="AR14" s="21"/>
      <c r="AS14" s="18">
        <f t="shared" si="45"/>
        <v>0</v>
      </c>
      <c r="AT14" s="21"/>
      <c r="AU14" s="18">
        <f t="shared" si="45"/>
        <v>0</v>
      </c>
      <c r="AV14" s="21"/>
      <c r="AW14" s="18">
        <f t="shared" si="45"/>
        <v>0</v>
      </c>
      <c r="AX14" s="21"/>
      <c r="AY14" s="18">
        <f t="shared" si="45"/>
        <v>0</v>
      </c>
      <c r="AZ14" s="21"/>
      <c r="BA14" s="18">
        <f t="shared" si="45"/>
        <v>0</v>
      </c>
      <c r="BB14" s="21"/>
      <c r="BC14" s="18">
        <f t="shared" si="45"/>
        <v>0</v>
      </c>
      <c r="BD14" s="21"/>
      <c r="BE14" s="18">
        <f t="shared" si="45"/>
        <v>0</v>
      </c>
      <c r="BF14" s="21"/>
      <c r="BG14" s="18">
        <f t="shared" si="45"/>
        <v>0</v>
      </c>
      <c r="BH14" s="21"/>
      <c r="BI14" s="18">
        <f t="shared" si="45"/>
        <v>0</v>
      </c>
      <c r="BJ14" s="21"/>
      <c r="BK14" s="18">
        <f t="shared" si="45"/>
        <v>0</v>
      </c>
      <c r="BL14" s="21"/>
      <c r="BM14" s="18">
        <f t="shared" si="45"/>
        <v>0</v>
      </c>
      <c r="BN14" s="21"/>
      <c r="BO14" s="18">
        <f t="shared" si="45"/>
        <v>0</v>
      </c>
      <c r="BP14" s="21"/>
      <c r="BQ14" s="18">
        <f t="shared" si="45"/>
        <v>0</v>
      </c>
      <c r="BR14" s="14"/>
      <c r="BS14" s="18">
        <f t="shared" ref="BS14" si="60">BR14*$E14</f>
        <v>0</v>
      </c>
      <c r="BT14" s="19">
        <f t="shared" si="37"/>
        <v>0</v>
      </c>
      <c r="BU14" s="22" cm="1">
        <f t="array" ref="BU14">SUM(_xlfn._xlws.FILTER($H14:$BQ14, MOD(COLUMN($H14:$BQ14)-COLUMN($H14),3)=0))</f>
        <v>0</v>
      </c>
      <c r="BV14" s="18">
        <f t="shared" si="38"/>
        <v>0</v>
      </c>
      <c r="BW14" s="15"/>
      <c r="BX14" s="18">
        <f t="shared" si="39"/>
        <v>0</v>
      </c>
      <c r="BY14" s="74">
        <f t="shared" si="47"/>
        <v>0</v>
      </c>
      <c r="BZ14" s="10"/>
      <c r="CA14" s="13">
        <f t="shared" si="48"/>
        <v>0</v>
      </c>
      <c r="CB14" s="5"/>
      <c r="CC14" s="13">
        <f t="shared" si="40"/>
        <v>0</v>
      </c>
      <c r="CD14" s="5"/>
      <c r="CE14" s="13">
        <f t="shared" si="40"/>
        <v>0</v>
      </c>
      <c r="CF14" s="5"/>
      <c r="CG14" s="13">
        <f t="shared" ref="CG14" si="61">CF14*$E14</f>
        <v>0</v>
      </c>
      <c r="CH14" s="5"/>
      <c r="CI14" s="13">
        <f t="shared" ref="CI14" si="62">CH14*$E14</f>
        <v>0</v>
      </c>
      <c r="CJ14" s="5"/>
      <c r="CK14" s="13">
        <f t="shared" ref="CK14" si="63">CJ14*$E14</f>
        <v>0</v>
      </c>
      <c r="CL14" s="77"/>
      <c r="CM14" s="13">
        <f t="shared" si="44"/>
        <v>0</v>
      </c>
    </row>
    <row r="15" spans="1:91" s="12" customFormat="1" ht="25" customHeight="1" x14ac:dyDescent="0.2">
      <c r="A15" s="5" t="s">
        <v>36</v>
      </c>
      <c r="B15" s="5">
        <v>7</v>
      </c>
      <c r="C15" s="17" t="s">
        <v>23</v>
      </c>
      <c r="D15" s="5" t="s">
        <v>19</v>
      </c>
      <c r="E15" s="6">
        <v>6750</v>
      </c>
      <c r="F15" s="7"/>
      <c r="G15" s="8">
        <f t="shared" si="34"/>
        <v>0</v>
      </c>
      <c r="H15" s="21"/>
      <c r="I15" s="18">
        <f t="shared" si="35"/>
        <v>0</v>
      </c>
      <c r="J15" s="21"/>
      <c r="K15" s="18">
        <f t="shared" si="45"/>
        <v>0</v>
      </c>
      <c r="L15" s="21"/>
      <c r="M15" s="18">
        <f t="shared" si="45"/>
        <v>0</v>
      </c>
      <c r="N15" s="21"/>
      <c r="O15" s="18">
        <f t="shared" si="45"/>
        <v>0</v>
      </c>
      <c r="P15" s="21"/>
      <c r="Q15" s="18">
        <f t="shared" si="45"/>
        <v>0</v>
      </c>
      <c r="R15" s="21"/>
      <c r="S15" s="18">
        <f t="shared" si="45"/>
        <v>0</v>
      </c>
      <c r="T15" s="21"/>
      <c r="U15" s="18">
        <f t="shared" si="45"/>
        <v>0</v>
      </c>
      <c r="V15" s="21"/>
      <c r="W15" s="18">
        <f t="shared" si="45"/>
        <v>0</v>
      </c>
      <c r="X15" s="21"/>
      <c r="Y15" s="18">
        <f t="shared" si="45"/>
        <v>0</v>
      </c>
      <c r="Z15" s="21"/>
      <c r="AA15" s="18">
        <f t="shared" si="45"/>
        <v>0</v>
      </c>
      <c r="AB15" s="21"/>
      <c r="AC15" s="18">
        <f t="shared" si="45"/>
        <v>0</v>
      </c>
      <c r="AD15" s="21"/>
      <c r="AE15" s="18">
        <f t="shared" si="45"/>
        <v>0</v>
      </c>
      <c r="AF15" s="21"/>
      <c r="AG15" s="18">
        <f t="shared" si="45"/>
        <v>0</v>
      </c>
      <c r="AH15" s="21"/>
      <c r="AI15" s="18">
        <f t="shared" si="45"/>
        <v>0</v>
      </c>
      <c r="AJ15" s="21"/>
      <c r="AK15" s="18">
        <f t="shared" si="45"/>
        <v>0</v>
      </c>
      <c r="AL15" s="21"/>
      <c r="AM15" s="18">
        <f t="shared" si="45"/>
        <v>0</v>
      </c>
      <c r="AN15" s="21"/>
      <c r="AO15" s="18">
        <f t="shared" si="45"/>
        <v>0</v>
      </c>
      <c r="AP15" s="21"/>
      <c r="AQ15" s="18">
        <f t="shared" si="45"/>
        <v>0</v>
      </c>
      <c r="AR15" s="21"/>
      <c r="AS15" s="18">
        <f t="shared" si="45"/>
        <v>0</v>
      </c>
      <c r="AT15" s="21"/>
      <c r="AU15" s="18">
        <f t="shared" si="45"/>
        <v>0</v>
      </c>
      <c r="AV15" s="21"/>
      <c r="AW15" s="18">
        <f t="shared" si="45"/>
        <v>0</v>
      </c>
      <c r="AX15" s="21"/>
      <c r="AY15" s="18">
        <f t="shared" si="45"/>
        <v>0</v>
      </c>
      <c r="AZ15" s="21"/>
      <c r="BA15" s="18">
        <f t="shared" si="45"/>
        <v>0</v>
      </c>
      <c r="BB15" s="21"/>
      <c r="BC15" s="18">
        <f t="shared" si="45"/>
        <v>0</v>
      </c>
      <c r="BD15" s="21"/>
      <c r="BE15" s="18">
        <f t="shared" si="45"/>
        <v>0</v>
      </c>
      <c r="BF15" s="21"/>
      <c r="BG15" s="18">
        <f t="shared" si="45"/>
        <v>0</v>
      </c>
      <c r="BH15" s="21"/>
      <c r="BI15" s="18">
        <f t="shared" si="45"/>
        <v>0</v>
      </c>
      <c r="BJ15" s="21"/>
      <c r="BK15" s="18">
        <f t="shared" si="45"/>
        <v>0</v>
      </c>
      <c r="BL15" s="21"/>
      <c r="BM15" s="18">
        <f t="shared" si="45"/>
        <v>0</v>
      </c>
      <c r="BN15" s="21"/>
      <c r="BO15" s="18">
        <f t="shared" si="45"/>
        <v>0</v>
      </c>
      <c r="BP15" s="21"/>
      <c r="BQ15" s="18">
        <f t="shared" si="45"/>
        <v>0</v>
      </c>
      <c r="BR15" s="14"/>
      <c r="BS15" s="18">
        <f t="shared" ref="BS15" si="64">BR15*$E15</f>
        <v>0</v>
      </c>
      <c r="BT15" s="19">
        <f t="shared" si="37"/>
        <v>0</v>
      </c>
      <c r="BU15" s="22" cm="1">
        <f t="array" ref="BU15">SUM(_xlfn._xlws.FILTER($H15:$BQ15, MOD(COLUMN($H15:$BQ15)-COLUMN($H15),3)=0))</f>
        <v>0</v>
      </c>
      <c r="BV15" s="18">
        <f t="shared" si="38"/>
        <v>0</v>
      </c>
      <c r="BW15" s="15"/>
      <c r="BX15" s="18">
        <f t="shared" si="39"/>
        <v>0</v>
      </c>
      <c r="BY15" s="74">
        <f t="shared" si="47"/>
        <v>0</v>
      </c>
      <c r="BZ15" s="10"/>
      <c r="CA15" s="13">
        <f t="shared" si="48"/>
        <v>0</v>
      </c>
      <c r="CB15" s="5"/>
      <c r="CC15" s="13">
        <f t="shared" si="40"/>
        <v>0</v>
      </c>
      <c r="CD15" s="5"/>
      <c r="CE15" s="13">
        <f t="shared" si="40"/>
        <v>0</v>
      </c>
      <c r="CF15" s="5"/>
      <c r="CG15" s="13">
        <f t="shared" ref="CG15" si="65">CF15*$E15</f>
        <v>0</v>
      </c>
      <c r="CH15" s="5"/>
      <c r="CI15" s="13">
        <f t="shared" ref="CI15" si="66">CH15*$E15</f>
        <v>0</v>
      </c>
      <c r="CJ15" s="5"/>
      <c r="CK15" s="13">
        <f t="shared" ref="CK15" si="67">CJ15*$E15</f>
        <v>0</v>
      </c>
      <c r="CL15" s="77">
        <v>106</v>
      </c>
      <c r="CM15" s="13">
        <f t="shared" si="44"/>
        <v>715500</v>
      </c>
    </row>
    <row r="16" spans="1:91" s="12" customFormat="1" ht="25" customHeight="1" x14ac:dyDescent="0.2">
      <c r="A16" s="5" t="s">
        <v>37</v>
      </c>
      <c r="B16" s="5">
        <v>8</v>
      </c>
      <c r="C16" s="16" t="s">
        <v>23</v>
      </c>
      <c r="D16" s="5" t="s">
        <v>19</v>
      </c>
      <c r="E16" s="6">
        <v>7000</v>
      </c>
      <c r="F16" s="7"/>
      <c r="G16" s="8">
        <f t="shared" si="34"/>
        <v>0</v>
      </c>
      <c r="H16" s="21"/>
      <c r="I16" s="18">
        <f t="shared" si="35"/>
        <v>0</v>
      </c>
      <c r="J16" s="21"/>
      <c r="K16" s="18">
        <f t="shared" si="45"/>
        <v>0</v>
      </c>
      <c r="L16" s="21"/>
      <c r="M16" s="18">
        <f t="shared" si="45"/>
        <v>0</v>
      </c>
      <c r="N16" s="21"/>
      <c r="O16" s="18">
        <f t="shared" si="45"/>
        <v>0</v>
      </c>
      <c r="P16" s="21"/>
      <c r="Q16" s="18">
        <f t="shared" si="45"/>
        <v>0</v>
      </c>
      <c r="R16" s="21"/>
      <c r="S16" s="18">
        <f t="shared" si="45"/>
        <v>0</v>
      </c>
      <c r="T16" s="21"/>
      <c r="U16" s="18">
        <f t="shared" si="45"/>
        <v>0</v>
      </c>
      <c r="V16" s="21"/>
      <c r="W16" s="18">
        <f t="shared" si="45"/>
        <v>0</v>
      </c>
      <c r="X16" s="21"/>
      <c r="Y16" s="18">
        <f t="shared" si="45"/>
        <v>0</v>
      </c>
      <c r="Z16" s="21"/>
      <c r="AA16" s="18">
        <f t="shared" si="45"/>
        <v>0</v>
      </c>
      <c r="AB16" s="21"/>
      <c r="AC16" s="18">
        <f t="shared" si="45"/>
        <v>0</v>
      </c>
      <c r="AD16" s="21"/>
      <c r="AE16" s="18">
        <f t="shared" si="45"/>
        <v>0</v>
      </c>
      <c r="AF16" s="21"/>
      <c r="AG16" s="18">
        <f t="shared" si="45"/>
        <v>0</v>
      </c>
      <c r="AH16" s="21"/>
      <c r="AI16" s="18">
        <f t="shared" si="45"/>
        <v>0</v>
      </c>
      <c r="AJ16" s="21"/>
      <c r="AK16" s="18">
        <f t="shared" si="45"/>
        <v>0</v>
      </c>
      <c r="AL16" s="21"/>
      <c r="AM16" s="18">
        <f t="shared" si="45"/>
        <v>0</v>
      </c>
      <c r="AN16" s="21"/>
      <c r="AO16" s="18">
        <f t="shared" si="45"/>
        <v>0</v>
      </c>
      <c r="AP16" s="21"/>
      <c r="AQ16" s="18">
        <f t="shared" si="45"/>
        <v>0</v>
      </c>
      <c r="AR16" s="21"/>
      <c r="AS16" s="18">
        <f t="shared" si="45"/>
        <v>0</v>
      </c>
      <c r="AT16" s="21"/>
      <c r="AU16" s="18">
        <f t="shared" si="45"/>
        <v>0</v>
      </c>
      <c r="AV16" s="21"/>
      <c r="AW16" s="18">
        <f t="shared" si="45"/>
        <v>0</v>
      </c>
      <c r="AX16" s="21"/>
      <c r="AY16" s="18">
        <f t="shared" si="45"/>
        <v>0</v>
      </c>
      <c r="AZ16" s="21"/>
      <c r="BA16" s="18">
        <f t="shared" si="45"/>
        <v>0</v>
      </c>
      <c r="BB16" s="21"/>
      <c r="BC16" s="18">
        <f t="shared" si="45"/>
        <v>0</v>
      </c>
      <c r="BD16" s="21"/>
      <c r="BE16" s="18">
        <f t="shared" si="45"/>
        <v>0</v>
      </c>
      <c r="BF16" s="21"/>
      <c r="BG16" s="18">
        <f t="shared" si="45"/>
        <v>0</v>
      </c>
      <c r="BH16" s="21"/>
      <c r="BI16" s="18">
        <f t="shared" si="45"/>
        <v>0</v>
      </c>
      <c r="BJ16" s="21"/>
      <c r="BK16" s="18">
        <f t="shared" si="45"/>
        <v>0</v>
      </c>
      <c r="BL16" s="21"/>
      <c r="BM16" s="18">
        <f t="shared" si="45"/>
        <v>0</v>
      </c>
      <c r="BN16" s="21"/>
      <c r="BO16" s="18">
        <f t="shared" si="45"/>
        <v>0</v>
      </c>
      <c r="BP16" s="21"/>
      <c r="BQ16" s="18">
        <f t="shared" si="45"/>
        <v>0</v>
      </c>
      <c r="BR16" s="14"/>
      <c r="BS16" s="18">
        <f t="shared" ref="BS16" si="68">BR16*$E16</f>
        <v>0</v>
      </c>
      <c r="BT16" s="19">
        <f t="shared" si="37"/>
        <v>0</v>
      </c>
      <c r="BU16" s="22" cm="1">
        <f t="array" ref="BU16">SUM(_xlfn._xlws.FILTER($H16:$BQ16, MOD(COLUMN($H16:$BQ16)-COLUMN($H16),3)=0))</f>
        <v>0</v>
      </c>
      <c r="BV16" s="18">
        <f t="shared" si="38"/>
        <v>0</v>
      </c>
      <c r="BW16" s="15"/>
      <c r="BX16" s="18">
        <f t="shared" si="39"/>
        <v>0</v>
      </c>
      <c r="BY16" s="74">
        <f t="shared" si="47"/>
        <v>0</v>
      </c>
      <c r="BZ16" s="10"/>
      <c r="CA16" s="13">
        <f t="shared" si="48"/>
        <v>0</v>
      </c>
      <c r="CB16" s="5"/>
      <c r="CC16" s="13">
        <f t="shared" si="40"/>
        <v>0</v>
      </c>
      <c r="CD16" s="5"/>
      <c r="CE16" s="13">
        <f t="shared" si="40"/>
        <v>0</v>
      </c>
      <c r="CF16" s="5"/>
      <c r="CG16" s="13">
        <f t="shared" ref="CG16" si="69">CF16*$E16</f>
        <v>0</v>
      </c>
      <c r="CH16" s="5"/>
      <c r="CI16" s="13">
        <f t="shared" ref="CI16" si="70">CH16*$E16</f>
        <v>0</v>
      </c>
      <c r="CJ16" s="5"/>
      <c r="CK16" s="13">
        <f t="shared" ref="CK16" si="71">CJ16*$E16</f>
        <v>0</v>
      </c>
      <c r="CL16" s="77"/>
      <c r="CM16" s="13">
        <f t="shared" si="44"/>
        <v>0</v>
      </c>
    </row>
    <row r="17" spans="1:91" s="73" customFormat="1" ht="15" customHeight="1" x14ac:dyDescent="0.2">
      <c r="A17" s="55"/>
      <c r="B17" s="55"/>
      <c r="C17" s="68"/>
      <c r="D17" s="55"/>
      <c r="E17" s="69"/>
      <c r="F17" s="66"/>
      <c r="G17" s="70"/>
      <c r="H17" s="63"/>
      <c r="I17" s="58"/>
      <c r="J17" s="63"/>
      <c r="K17" s="58"/>
      <c r="L17" s="63"/>
      <c r="M17" s="58"/>
      <c r="N17" s="63"/>
      <c r="O17" s="58"/>
      <c r="P17" s="63"/>
      <c r="Q17" s="58"/>
      <c r="R17" s="63"/>
      <c r="S17" s="58"/>
      <c r="T17" s="63"/>
      <c r="U17" s="58"/>
      <c r="V17" s="63"/>
      <c r="W17" s="58"/>
      <c r="X17" s="63"/>
      <c r="Y17" s="58"/>
      <c r="Z17" s="63"/>
      <c r="AA17" s="58"/>
      <c r="AB17" s="63"/>
      <c r="AC17" s="58"/>
      <c r="AD17" s="63"/>
      <c r="AE17" s="58"/>
      <c r="AF17" s="63"/>
      <c r="AG17" s="58"/>
      <c r="AH17" s="63"/>
      <c r="AI17" s="58"/>
      <c r="AJ17" s="63"/>
      <c r="AK17" s="58"/>
      <c r="AL17" s="63"/>
      <c r="AM17" s="58"/>
      <c r="AN17" s="63"/>
      <c r="AO17" s="58"/>
      <c r="AP17" s="63"/>
      <c r="AQ17" s="58"/>
      <c r="AR17" s="63"/>
      <c r="AS17" s="58"/>
      <c r="AT17" s="63"/>
      <c r="AU17" s="58"/>
      <c r="AV17" s="63"/>
      <c r="AW17" s="58"/>
      <c r="AX17" s="63"/>
      <c r="AY17" s="58"/>
      <c r="AZ17" s="63"/>
      <c r="BA17" s="58"/>
      <c r="BB17" s="63"/>
      <c r="BC17" s="58"/>
      <c r="BD17" s="63"/>
      <c r="BE17" s="58"/>
      <c r="BF17" s="63"/>
      <c r="BG17" s="58"/>
      <c r="BH17" s="63"/>
      <c r="BI17" s="58"/>
      <c r="BJ17" s="63"/>
      <c r="BK17" s="58"/>
      <c r="BL17" s="63"/>
      <c r="BM17" s="58"/>
      <c r="BN17" s="63"/>
      <c r="BO17" s="58"/>
      <c r="BP17" s="63"/>
      <c r="BQ17" s="58"/>
      <c r="BR17" s="63"/>
      <c r="BS17" s="58"/>
      <c r="BT17" s="71"/>
      <c r="BU17" s="64"/>
      <c r="BV17" s="58"/>
      <c r="BW17" s="72"/>
      <c r="BX17" s="58"/>
      <c r="BY17" s="65"/>
      <c r="BZ17" s="58"/>
      <c r="CA17" s="67"/>
      <c r="CB17" s="63"/>
      <c r="CC17" s="63"/>
      <c r="CD17" s="63"/>
      <c r="CE17" s="63"/>
      <c r="CF17" s="63"/>
      <c r="CG17" s="63"/>
      <c r="CH17" s="67"/>
      <c r="CI17" s="63"/>
      <c r="CJ17" s="63"/>
      <c r="CK17" s="63"/>
      <c r="CL17" s="66"/>
      <c r="CM17" s="67"/>
    </row>
    <row r="18" spans="1:91" s="28" customFormat="1" ht="25.5" customHeight="1" x14ac:dyDescent="0.2"/>
    <row r="19" spans="1:91" s="28" customFormat="1" ht="25.5" customHeight="1" x14ac:dyDescent="0.2"/>
    <row r="20" spans="1:91" s="28" customFormat="1" ht="25.5" customHeight="1" x14ac:dyDescent="0.2"/>
    <row r="21" spans="1:91" s="28" customFormat="1" ht="21.5" customHeight="1" x14ac:dyDescent="0.2"/>
    <row r="22" spans="1:91" s="28" customFormat="1" ht="15" x14ac:dyDescent="0.2"/>
    <row r="23" spans="1:91" s="28" customFormat="1" ht="15" x14ac:dyDescent="0.2"/>
    <row r="24" spans="1:91" s="28" customFormat="1" ht="15" x14ac:dyDescent="0.2"/>
    <row r="25" spans="1:91" s="28" customFormat="1" ht="15" x14ac:dyDescent="0.2"/>
    <row r="26" spans="1:91" s="28" customFormat="1" ht="15" x14ac:dyDescent="0.2"/>
    <row r="27" spans="1:91" s="28" customFormat="1" ht="15" x14ac:dyDescent="0.2"/>
    <row r="28" spans="1:91" s="28" customFormat="1" ht="15" x14ac:dyDescent="0.2"/>
    <row r="29" spans="1:91" s="28" customFormat="1" ht="15" x14ac:dyDescent="0.2"/>
    <row r="30" spans="1:91" s="28" customFormat="1" ht="15" x14ac:dyDescent="0.2"/>
    <row r="31" spans="1:91" s="28" customFormat="1" ht="15" x14ac:dyDescent="0.2"/>
    <row r="32" spans="1:91" s="28" customFormat="1" ht="15" x14ac:dyDescent="0.2"/>
    <row r="33" s="28" customFormat="1" ht="15" x14ac:dyDescent="0.2"/>
    <row r="34" s="28" customFormat="1" ht="15" x14ac:dyDescent="0.2"/>
    <row r="35" s="28" customFormat="1" ht="15" x14ac:dyDescent="0.2"/>
  </sheetData>
  <sheetProtection insertRows="0"/>
  <mergeCells count="50">
    <mergeCell ref="CH5:CI6"/>
    <mergeCell ref="CJ5:CK6"/>
    <mergeCell ref="CL5:CM6"/>
    <mergeCell ref="F5:G6"/>
    <mergeCell ref="H5:BQ5"/>
    <mergeCell ref="AZ6:BA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V6:W6"/>
    <mergeCell ref="X6:Y6"/>
    <mergeCell ref="Z6:AA6"/>
    <mergeCell ref="R6:S6"/>
    <mergeCell ref="T6:U6"/>
    <mergeCell ref="BR5:BS5"/>
    <mergeCell ref="BU5:BV5"/>
    <mergeCell ref="BW5:BX5"/>
    <mergeCell ref="AB6:AC6"/>
    <mergeCell ref="AX6:AY6"/>
    <mergeCell ref="H6:I6"/>
    <mergeCell ref="J6:K6"/>
    <mergeCell ref="L6:M6"/>
    <mergeCell ref="N6:O6"/>
    <mergeCell ref="P6:Q6"/>
    <mergeCell ref="CF5:CG6"/>
    <mergeCell ref="CB6:CC6"/>
    <mergeCell ref="CD6:CE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Y5:CA5"/>
    <mergeCell ref="CB5:CE5"/>
    <mergeCell ref="C5:C7"/>
    <mergeCell ref="D5:D7"/>
    <mergeCell ref="E5:E7"/>
    <mergeCell ref="A5:A7"/>
    <mergeCell ref="B5:B7"/>
  </mergeCells>
  <phoneticPr fontId="7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THANG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Thiện Nguyễn Tuấn</dc:creator>
  <cp:lastModifiedBy>nguyen0096@outlook.com</cp:lastModifiedBy>
  <dcterms:created xsi:type="dcterms:W3CDTF">2025-09-23T17:17:03Z</dcterms:created>
  <dcterms:modified xsi:type="dcterms:W3CDTF">2025-10-07T15:56:22Z</dcterms:modified>
</cp:coreProperties>
</file>