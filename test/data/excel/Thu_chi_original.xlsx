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Default Extension="bin" ContentType="application/vnd.ms-office.vbaProject"/>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showObjects="all"/>
  <workbookProtection/>
  <bookViews>
    <workbookView showHorizontalScroll="true" showVerticalScroll="true" showSheetTabs="true" xWindow="0" yWindow="0" windowWidth="16384" windowHeight="8192" tabRatio="500"/>
  </bookViews>
  <sheets>
    <sheet name="TIỀN MẶT" sheetId="1" r:id="rId3" state="visible"/>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<sst xmlns="http://schemas.openxmlformats.org/spreadsheetml/2006/main" count="48" uniqueCount="47">
  <si>
    <t xml:space="preserve">CĂN TIN QUÁ KHỨ NĂM 2000</t>
  </si>
  <si>
    <t xml:space="preserve">STT</t>
  </si>
  <si>
    <t xml:space="preserve">DIỄN GIẢI</t>
  </si>
  <si>
    <t xml:space="preserve">THU</t>
  </si>
  <si>
    <t xml:space="preserve">THU KHÁC</t>
  </si>
  <si>
    <t xml:space="preserve">MƯỢN THẰNG HỀ </t>
  </si>
  <si>
    <t xml:space="preserve">ỨNG</t>
  </si>
  <si>
    <t xml:space="preserve">TÀI SẢN</t>
  </si>
  <si>
    <t xml:space="preserve">NƯỚC</t>
  </si>
  <si>
    <t xml:space="preserve">ĂN NHẸ,CƠM</t>
  </si>
  <si>
    <t xml:space="preserve">CHI KHÁC</t>
  </si>
  <si>
    <t xml:space="preserve">LƯƠNG NV</t>
  </si>
  <si>
    <t xml:space="preserve">COCACOLA</t>
  </si>
  <si>
    <t xml:space="preserve">THU TIỀN BÁN HÀNG</t>
  </si>
  <si>
    <t xml:space="preserve">CHUỐI CHIÊN NGÀY 25+26+27+28/12/2023</t>
  </si>
  <si>
    <t xml:space="preserve">BÁNH TRÁNG BÉ ĐẬU.</t>
  </si>
  <si>
    <t xml:space="preserve">BÁNH BAO</t>
  </si>
  <si>
    <t xml:space="preserve">BÁNH HÀ NỘI </t>
  </si>
  <si>
    <t xml:space="preserve">XOÀI </t>
  </si>
  <si>
    <t xml:space="preserve">NƯỚC ADEW</t>
  </si>
  <si>
    <r>
      <rPr>
        <rFont val="Times New Roman"/>
        <charset val="1"/>
        <family val="1"/>
        <b/>
        <sz val="11"/>
      </rPr>
      <t xml:space="preserve">ĐÁ BI. TỪ NGÀY 21/12/ ĐẾN 29/12/2023  (</t>
    </r>
    <r>
      <rPr>
        <rFont val="Times New Roman"/>
        <charset val="1"/>
        <family val="1"/>
        <b/>
        <color rgb="FFFF0000"/>
        <sz val="11"/>
      </rPr>
      <t xml:space="preserve"> CK</t>
    </r>
    <r>
      <rPr>
        <rFont val="Times New Roman"/>
        <charset val="1"/>
        <family val="1"/>
        <b/>
        <sz val="11"/>
      </rPr>
      <t xml:space="preserve"> )</t>
    </r>
  </si>
  <si>
    <r>
      <rPr>
        <rFont val="Times New Roman"/>
        <charset val="1"/>
        <family val="1"/>
        <b/>
        <sz val="11"/>
      </rPr>
      <t xml:space="preserve">NƯỚC QP ( </t>
    </r>
    <r>
      <rPr>
        <rFont val="Times New Roman"/>
        <charset val="1"/>
        <family val="1"/>
        <b/>
        <color rgb="FFFF0000"/>
        <sz val="11"/>
      </rPr>
      <t xml:space="preserve">CK</t>
    </r>
    <r>
      <rPr>
        <rFont val="Times New Roman"/>
        <charset val="1"/>
        <family val="1"/>
        <b/>
        <sz val="11"/>
      </rPr>
      <t xml:space="preserve"> )</t>
    </r>
  </si>
  <si>
    <t xml:space="preserve">THỊT HEO A QUỐC</t>
  </si>
  <si>
    <t xml:space="preserve">THỰC PHẨM VY TRÚC </t>
  </si>
  <si>
    <t xml:space="preserve">ĐẬU HỦ  + BẮP CẢI + CỦ CẢI</t>
  </si>
  <si>
    <r>
      <rPr>
        <rFont val="Times New Roman"/>
        <charset val="1"/>
        <family val="1"/>
        <b/>
        <sz val="11"/>
      </rPr>
      <t xml:space="preserve">BÚN NGỌC TỪ 11 / 12/ĐẾN 29 / 12/2023 ( </t>
    </r>
    <r>
      <rPr>
        <rFont val="Times New Roman"/>
        <charset val="1"/>
        <family val="1"/>
        <b/>
        <color rgb="FFFF0000"/>
        <sz val="11"/>
      </rPr>
      <t xml:space="preserve">CK )</t>
    </r>
  </si>
  <si>
    <r>
      <rPr>
        <rFont val="Times New Roman"/>
        <charset val="1"/>
        <family val="1"/>
        <b/>
        <sz val="11"/>
      </rPr>
      <t xml:space="preserve">BÁNH MÌ Ổ A MINH TỪ 21/ 12 ĐẾN 29/12/2023 ( </t>
    </r>
    <r>
      <rPr>
        <rFont val="Times New Roman"/>
        <charset val="1"/>
        <family val="1"/>
        <b/>
        <color rgb="FFC00000"/>
        <sz val="11"/>
      </rPr>
      <t xml:space="preserve">CK )</t>
    </r>
  </si>
  <si>
    <t xml:space="preserve">RAU CỦ QUẢ ADCO ( CHI TIỂN QUỶ )</t>
  </si>
  <si>
    <r>
      <rPr>
        <rFont val="Times New Roman"/>
        <charset val="1"/>
        <family val="1"/>
        <b/>
        <sz val="11"/>
      </rPr>
      <t xml:space="preserve">GIÁ SỐNG ( </t>
    </r>
    <r>
      <rPr>
        <rFont val="Times New Roman"/>
        <charset val="1"/>
        <family val="1"/>
        <b/>
        <color rgb="FFFF0000"/>
        <sz val="11"/>
      </rPr>
      <t xml:space="preserve">CK</t>
    </r>
    <r>
      <rPr>
        <rFont val="Times New Roman"/>
        <charset val="1"/>
        <family val="1"/>
        <b/>
        <sz val="11"/>
      </rPr>
      <t xml:space="preserve"> ) </t>
    </r>
  </si>
  <si>
    <t xml:space="preserve">XE CHỞ CHUỐI CHIÊN</t>
  </si>
  <si>
    <r>
      <rPr>
        <rFont val="Times New Roman"/>
        <charset val="1"/>
        <family val="1"/>
        <b/>
        <sz val="11"/>
      </rPr>
      <t xml:space="preserve">TIỀN MẶT BẰNG THÁNG 12/2023. ( </t>
    </r>
    <r>
      <rPr>
        <rFont val="Times New Roman"/>
        <charset val="1"/>
        <family val="1"/>
        <b/>
        <color rgb="FFFF0000"/>
        <sz val="11"/>
      </rPr>
      <t xml:space="preserve">CK</t>
    </r>
    <r>
      <rPr>
        <rFont val="Times New Roman"/>
        <charset val="1"/>
        <family val="1"/>
        <b/>
        <sz val="11"/>
      </rPr>
      <t xml:space="preserve"> )</t>
    </r>
  </si>
  <si>
    <t xml:space="preserve">TIỀN THUÊ MÁY TÍNH + THUÊ ĐIỆN THOẠI + RERVER THÁNG 9+10+11+12/2023</t>
  </si>
  <si>
    <t xml:space="preserve">THỬ ĐỒ ĂN TRONG NHÀ + BÊN NGOÀI + ĐỒ ĂN TIẾP KHÁCH T 6+10+11+12/2023</t>
  </si>
  <si>
    <t xml:space="preserve">TIỀN PHÍ CÔNG TÁC THÁNG 9+10+11+12 / 2023</t>
  </si>
  <si>
    <t xml:space="preserve">CHI TIỀN NƯỚC KM THÁNG 10 + 11 + 12 / 2023</t>
  </si>
  <si>
    <t xml:space="preserve">TIỀN CHUYỂN KHOẢN NGÀY 29/12/2023</t>
  </si>
  <si>
    <t xml:space="preserve">TIỀN CHUYỂN KHOẢN NGÀY 30/12/2023</t>
  </si>
  <si>
    <t xml:space="preserve">1</t>
  </si>
  <si>
    <t xml:space="preserve">Sample Transaction</t>
  </si>
  <si>
    <t xml:space="preserve">0</t>
  </si>
  <si>
    <t xml:space="preserve">50000</t>
  </si>
  <si>
    <t>SAMPLE TRANSACTION</t>
  </si>
  <si>
    <t/>
  </si>
  <si>
    <t>2</t>
  </si>
  <si>
    <t>SAMPLE TRANSACTION 2</t>
  </si>
  <si>
    <t>10</t>
  </si>
  <si>
    <t>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</si>
</sst>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164" formatCode="General"/>
    <numFmt numFmtId="165" formatCode="m/d/yyyy"/>
    <numFmt numFmtId="166" formatCode="#,##0"/>
    <numFmt numFmtId="167" formatCode="0"/>
    <numFmt numFmtId="168" formatCode="mm/dd/yyyy"/>
  </numFmts>
  <fonts count="24">
    <font>
      <sz val="11"/>
      <color theme="1"/>
      <name val="Calibri"/>
      <family val="2"/>
      <charset val="1"/>
    </font>
    <font>
      <sz val="10"/>
      <name val="Arial"/>
      <family val="0"/>
    </font>
    <font>
      <sz val="10"/>
      <name val="Arial"/>
      <family val="0"/>
    </font>
    <font>
      <sz val="10"/>
      <name val="Arial"/>
      <family val="0"/>
    </font>
    <font>
      <sz val="14"/>
      <color theme="1"/>
      <name val="Calibri"/>
      <family val="2"/>
      <charset val="1"/>
    </font>
    <font>
      <sz val="16"/>
      <color theme="1"/>
      <name val="Calibri"/>
      <family val="2"/>
      <charset val="1"/>
    </font>
    <font>
      <b val="1"/>
      <sz val="16"/>
      <color theme="1"/>
      <name val="Calibri"/>
      <family val="2"/>
      <charset val="1"/>
    </font>
    <font>
      <b val="1"/>
      <sz val="16"/>
      <name val="Times New Roman"/>
      <family val="1"/>
      <charset val="1"/>
    </font>
    <font>
      <b val="1"/>
      <sz val="16"/>
      <color theme="1"/>
      <name val="Times New Roman"/>
      <family val="1"/>
      <charset val="1"/>
    </font>
    <font>
      <b val="1"/>
      <sz val="14"/>
      <name val="Times New Roman"/>
      <family val="1"/>
      <charset val="1"/>
    </font>
    <font>
      <b val="1"/>
      <sz val="16"/>
      <color rgb="FF0000FF"/>
      <name val="Times New Roman"/>
      <family val="1"/>
      <charset val="1"/>
    </font>
    <font>
      <sz val="16"/>
      <color theme="1"/>
      <name val="Times New Roman"/>
      <family val="1"/>
      <charset val="1"/>
    </font>
    <font>
      <sz val="14"/>
      <color rgb="FFFF0000"/>
      <name val="Times New Roman"/>
      <family val="1"/>
      <charset val="1"/>
    </font>
    <font>
      <sz val="11"/>
      <color theme="1"/>
      <name val="Times New Roman"/>
      <family val="1"/>
      <charset val="1"/>
    </font>
    <font>
      <b val="1"/>
      <sz val="10"/>
      <color rgb="FF00CCFF"/>
      <name val="Times New Roman"/>
      <family val="1"/>
      <charset val="1"/>
    </font>
    <font>
      <b val="1"/>
      <sz val="20"/>
      <color rgb="FF000000"/>
      <name val="Times New Roman"/>
      <family val="1"/>
      <charset val="1"/>
    </font>
    <font>
      <b val="1"/>
      <sz val="11"/>
      <color rgb="FF00CCFF"/>
      <name val="Times New Roman"/>
      <family val="1"/>
      <charset val="1"/>
    </font>
    <font>
      <b val="1"/>
      <sz val="16"/>
      <color rgb="FFFF0000"/>
      <name val="Times New Roman"/>
      <family val="1"/>
      <charset val="1"/>
    </font>
    <font>
      <b val="1"/>
      <sz val="11"/>
      <name val="Times New Roman"/>
      <family val="1"/>
      <charset val="1"/>
    </font>
    <font>
      <b val="1"/>
      <sz val="11"/>
      <color rgb="FFFF0000"/>
      <name val="Times New Roman"/>
      <family val="1"/>
      <charset val="1"/>
    </font>
    <font>
      <b val="1"/>
      <sz val="14"/>
      <color rgb="FFFF0000"/>
      <name val="Times New Roman"/>
      <family val="1"/>
      <charset val="1"/>
    </font>
    <font>
      <b val="1"/>
      <sz val="11"/>
      <color rgb="FFC00000"/>
      <name val="Times New Roman"/>
      <family val="1"/>
      <charset val="1"/>
    </font>
    <font>
      <b val="1"/>
      <sz val="11"/>
      <color rgb="FF7030A0"/>
      <name val="Times New Roman"/>
      <family val="1"/>
      <charset val="1"/>
    </font>
    <font>
      <b val="1"/>
      <sz val="11"/>
      <color/>
      <name val="Times New Roman"/>
      <family val="2"/>
    </font>
  </fonts>
  <fills count="8">
    <fill>
      <patternFill patternType="none"/>
    </fill>
    <fill>
      <patternFill patternType="gray125"/>
    </fill>
    <fill>
      <patternFill patternType="solid">
        <fgColor theme="0"/>
        <bgColor rgb="FFFFFFCC"/>
      </patternFill>
    </fill>
    <fill>
      <patternFill patternType="solid">
        <fgColor theme="4" tint="0.3999"/>
        <bgColor rgb="FF99CCFF"/>
      </patternFill>
    </fill>
    <fill>
      <patternFill patternType="solid">
        <fgColor rgb="FF00FFFF"/>
        <bgColor rgb="FF00FFFF"/>
      </patternFill>
    </fill>
    <fill>
      <patternFill patternType="solid">
        <fgColor rgb="FF99CCFF"/>
        <bgColor rgb="FF9DC3E6"/>
      </patternFill>
    </fill>
    <fill>
      <patternFill patternType="solid">
        <fgColor rgb="FFFFFF00"/>
        <bgColor rgb="FFFFFF00"/>
      </patternFill>
    </fill>
    <fill>
      <patternFill patternType="solid">
        <fgColor rgb="FF00B0F0"/>
        <bgColor rgb="FF00CCFF"/>
      </patternFill>
    </fill>
  </fills>
  <borders count="4">
    <border>
      <left/>
      <right/>
      <top/>
      <bottom/>
      <diagonal/>
    </border>
    <border>
      <left style="thin"/>
      <right style="thin"/>
      <top style="thin"/>
      <bottom style="thin"/>
      <diagonal/>
    </border>
    <border>
      <left/>
      <right/>
      <top style="thin"/>
      <bottom style="thin"/>
      <diagonal/>
    </border>
    <border>
      <left style="thin">
        <color rgb="FF000000"/>
      </left>
      <right style="thin">
        <color rgb="FF000000"/>
      </right>
      <top style="thin">
        <color rgb="FF000000"/>
      </top>
      <bottom style="thin">
        <color rgb="FF000000"/>
      </bottom>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protection hidden="false" locked="true"/>
    </xf>
    <xf numFmtId="165" fontId="0" fillId="0" borderId="0" xfId="0" applyFont="false" applyBorder="false" applyAlignment="true" applyProtection="true">
      <alignment horizontal="general" vertical="bottom"/>
      <protection hidden="false" locked="true"/>
    </xf>
    <xf numFmtId="166" fontId="0" fillId="0" borderId="0" xfId="0" applyFont="false" applyBorder="false" applyAlignment="true" applyProtection="true">
      <alignment horizontal="right" vertical="bottom"/>
      <protection hidden="false" locked="true"/>
    </xf>
    <xf numFmtId="164" fontId="0" fillId="2" borderId="0" xfId="0" applyFont="false" applyBorder="false" applyAlignment="true" applyProtection="true">
      <alignment horizontal="general" vertical="bottom"/>
      <protection hidden="false" locked="true"/>
    </xf>
    <xf numFmtId="166" fontId="4" fillId="0" borderId="0" xfId="0" applyFont="true" applyBorder="false" applyAlignment="true" applyProtection="true">
      <alignment horizontal="general" vertical="bottom"/>
      <protection hidden="false" locked="true"/>
    </xf>
    <xf numFmtId="166" fontId="5" fillId="0" borderId="0" xfId="0" applyFont="true" applyBorder="false" applyAlignment="true" applyProtection="true">
      <alignment horizontal="general" vertical="bottom"/>
      <protection hidden="false" locked="true"/>
    </xf>
    <xf numFmtId="166" fontId="6" fillId="0" borderId="0" xfId="0" applyFont="true" applyBorder="false" applyAlignment="true" applyProtection="true">
      <alignment horizontal="general" vertical="bottom"/>
      <protection hidden="false" locked="true"/>
    </xf>
    <xf numFmtId="165" fontId="7" fillId="0" borderId="1" xfId="0" applyFont="true" applyBorder="true" applyAlignment="true" applyProtection="true">
      <alignment horizontal="center" vertical="center" wrapText="true"/>
      <protection hidden="false" locked="true"/>
    </xf>
    <xf numFmtId="164" fontId="7" fillId="0" borderId="1" xfId="0" applyFont="true" applyBorder="true" applyAlignment="true" applyProtection="true">
      <alignment horizontal="center" vertical="center" wrapText="true"/>
      <protection hidden="false" locked="true"/>
    </xf>
    <xf numFmtId="166" fontId="7" fillId="0" borderId="1" xfId="0" applyFont="true" applyBorder="true" applyAlignment="true" applyProtection="true">
      <alignment horizontal="center" vertical="center" wrapText="true"/>
      <protection hidden="false" locked="true"/>
    </xf>
    <xf numFmtId="166" fontId="8" fillId="3" borderId="1" xfId="0" applyFont="true" applyBorder="true" applyAlignment="true" applyProtection="true">
      <alignment horizontal="center" vertical="center" wrapText="true"/>
      <protection hidden="false" locked="true"/>
    </xf>
    <xf numFmtId="166" fontId="8" fillId="2" borderId="2" xfId="0" applyFont="true" applyBorder="true" applyAlignment="true" applyProtection="true">
      <alignment horizontal="center" vertical="center" wrapText="true"/>
      <protection hidden="false" locked="true"/>
    </xf>
    <xf numFmtId="166" fontId="9" fillId="2" borderId="2" xfId="0" applyFont="true" applyBorder="true" applyAlignment="true" applyProtection="true">
      <alignment horizontal="center" vertical="center" wrapText="true"/>
      <protection hidden="false" locked="true"/>
    </xf>
    <xf numFmtId="166" fontId="10" fillId="0" borderId="1" xfId="0" applyFont="true" applyBorder="true" applyAlignment="true" applyProtection="true">
      <alignment horizontal="center" vertical="center" wrapText="true"/>
      <protection hidden="false" locked="true"/>
    </xf>
    <xf numFmtId="164" fontId="11" fillId="0" borderId="0" xfId="0" applyFont="true" applyBorder="false" applyAlignment="true" applyProtection="true">
      <alignment horizontal="general" vertical="bottom"/>
      <protection hidden="false" locked="true"/>
    </xf>
    <xf numFmtId="166" fontId="12" fillId="0" borderId="0" xfId="0" applyFont="true" applyBorder="false" applyAlignment="true" applyProtection="true">
      <alignment horizontal="general" vertical="bottom"/>
      <protection hidden="false" locked="true"/>
    </xf>
    <xf numFmtId="166" fontId="8" fillId="2" borderId="1" xfId="0" applyFont="true" applyBorder="true" applyAlignment="true" applyProtection="true">
      <alignment horizontal="center" vertical="center" wrapText="true"/>
      <protection hidden="false" locked="true"/>
    </xf>
    <xf numFmtId="166" fontId="9" fillId="0" borderId="1" xfId="0" applyFont="true" applyBorder="true" applyAlignment="true" applyProtection="true">
      <alignment horizontal="center" vertical="center" wrapText="true"/>
      <protection hidden="false" locked="true"/>
    </xf>
    <xf numFmtId="164" fontId="13" fillId="0" borderId="0" xfId="0" applyFont="true" applyBorder="false" applyAlignment="true" applyProtection="true">
      <alignment horizontal="general" vertical="bottom"/>
      <protection hidden="false" locked="true"/>
    </xf>
    <xf numFmtId="165" fontId="14" fillId="4" borderId="1" xfId="0" applyFont="true" applyBorder="true" applyAlignment="true" applyProtection="true">
      <alignment horizontal="general" vertical="bottom"/>
      <protection hidden="false" locked="true"/>
    </xf>
    <xf numFmtId="166" fontId="14" fillId="4" borderId="1" xfId="0" applyFont="true" applyBorder="true" applyAlignment="true" applyProtection="true">
      <alignment horizontal="right" vertical="bottom"/>
      <protection hidden="false" locked="true"/>
    </xf>
    <xf numFmtId="164" fontId="15" fillId="4" borderId="1" xfId="0" applyFont="true" applyBorder="true" applyAlignment="true" applyProtection="true">
      <alignment horizontal="general" vertical="bottom"/>
      <protection hidden="false" locked="true"/>
    </xf>
    <xf numFmtId="166" fontId="16" fillId="2" borderId="1" xfId="0" applyFont="true" applyBorder="true" applyAlignment="true" applyProtection="true">
      <alignment horizontal="general" vertical="bottom"/>
      <protection hidden="false" locked="true"/>
    </xf>
    <xf numFmtId="166" fontId="17" fillId="5" borderId="1" xfId="0" applyFont="true" applyBorder="true" applyAlignment="true" applyProtection="true">
      <alignment horizontal="general" vertical="bottom"/>
      <protection hidden="false" locked="true"/>
    </xf>
    <xf numFmtId="166" fontId="17" fillId="2" borderId="1" xfId="0" applyFont="true" applyBorder="true" applyAlignment="true" applyProtection="true">
      <alignment horizontal="general" vertical="bottom"/>
      <protection hidden="false" locked="true"/>
    </xf>
    <xf numFmtId="166" fontId="9" fillId="0" borderId="1" xfId="0" applyFont="true" applyBorder="true" applyAlignment="true" applyProtection="true">
      <alignment horizontal="general" vertical="bottom"/>
      <protection hidden="false" locked="true"/>
    </xf>
    <xf numFmtId="166" fontId="17" fillId="0" borderId="1" xfId="0" applyFont="true" applyBorder="true" applyAlignment="true" applyProtection="true">
      <alignment horizontal="general" vertical="bottom"/>
      <protection hidden="false" locked="true"/>
    </xf>
    <xf numFmtId="165" fontId="18" fillId="2" borderId="1" xfId="0" applyFont="true" applyBorder="true" applyAlignment="true" applyProtection="true">
      <alignment horizontal="general" vertical="bottom"/>
      <protection hidden="false" locked="true"/>
    </xf>
    <xf numFmtId="166" fontId="19" fillId="2" borderId="1" xfId="0" applyFont="true" applyBorder="true" applyAlignment="true" applyProtection="true">
      <alignment horizontal="right" vertical="bottom"/>
      <protection hidden="false" locked="true"/>
    </xf>
    <xf numFmtId="167" fontId="20" fillId="2" borderId="1" xfId="0" applyFont="true" applyBorder="true" applyAlignment="true" applyProtection="true">
      <alignment horizontal="general" vertical="bottom"/>
      <protection hidden="false" locked="true"/>
    </xf>
    <xf numFmtId="166" fontId="8" fillId="2" borderId="1" xfId="0" applyFont="true" applyBorder="true" applyAlignment="true" applyProtection="true">
      <alignment horizontal="general" vertical="bottom"/>
      <protection hidden="false" locked="true"/>
    </xf>
    <xf numFmtId="166" fontId="10" fillId="0" borderId="1" xfId="0" applyFont="true" applyBorder="true" applyAlignment="true" applyProtection="true">
      <alignment horizontal="general" vertical="bottom"/>
      <protection hidden="false" locked="true"/>
    </xf>
    <xf numFmtId="166" fontId="18" fillId="6" borderId="1" xfId="0" applyFont="true" applyBorder="true" applyAlignment="true" applyProtection="true">
      <alignment horizontal="right" vertical="bottom"/>
      <protection hidden="false" locked="true"/>
    </xf>
    <xf numFmtId="167" fontId="18" fillId="2" borderId="1" xfId="0" applyFont="true" applyBorder="true" applyAlignment="true" applyProtection="true">
      <alignment horizontal="general" vertical="bottom"/>
      <protection hidden="false" locked="true"/>
    </xf>
    <xf numFmtId="166" fontId="18" fillId="7" borderId="1" xfId="0" applyFont="true" applyBorder="true" applyAlignment="true" applyProtection="true">
      <alignment horizontal="right" vertical="bottom"/>
      <protection hidden="false" locked="true"/>
    </xf>
    <xf numFmtId="166" fontId="18" fillId="2" borderId="1" xfId="0" applyFont="true" applyBorder="true" applyAlignment="true" applyProtection="true">
      <alignment horizontal="right" vertical="bottom"/>
      <protection hidden="false" locked="true"/>
    </xf>
    <xf numFmtId="167" fontId="18" fillId="6" borderId="1" xfId="0" applyFont="true" applyBorder="true" applyAlignment="true" applyProtection="true">
      <alignment horizontal="general" vertical="bottom"/>
      <protection hidden="false" locked="true"/>
    </xf>
    <xf numFmtId="167" fontId="21" fillId="2" borderId="1" xfId="0" applyFont="true" applyBorder="true" applyAlignment="true" applyProtection="true">
      <alignment horizontal="general" vertical="bottom"/>
      <protection hidden="false" locked="true"/>
    </xf>
    <xf numFmtId="167" fontId="22" fillId="2" borderId="1" xfId="0" applyFont="true" applyBorder="true" applyAlignment="true" applyProtection="true">
      <alignment horizontal="general" vertical="bottom"/>
      <protection hidden="false" locked="true"/>
    </xf>
    <xf numFmtId="166" fontId="0" fillId="0" borderId="0" xfId="0" applyFont="false" applyBorder="false" applyAlignment="true" applyProtection="true">
      <alignment horizontal="general" vertical="bottom"/>
      <protection hidden="false" locked="true"/>
    </xf>
    <xf numFmtId="166" fontId="10" fillId="6" borderId="1" xfId="0" applyFont="true" applyBorder="true" applyAlignment="true" applyProtection="true">
      <alignment horizontal="general" vertical="bottom"/>
      <protection hidden="false" locked="true"/>
    </xf>
    <xf numFmtId="168" fontId="23" fillId="0" borderId="3" xfId="0" applyNumberFormat="true" applyFont="true" applyBorder="true" applyAlignment="false">
      <alignment/>
    </xf>
    <xf numFmtId="0" fontId="23" fillId="0" borderId="3" xfId="0" applyFont="true" applyBorder="true" applyAlignment="false">
      <alignment/>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9DC3E6"/>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00B0F0"/>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mruColors/>
  </color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rgbClr val="000000"/>
      </dk1>
      <lt1>
        <srgbClr val="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pitchFamily="0"/>
        <ea typeface=""/>
        <cs typeface=""/>
      </majorFont>
      <minorFont>
        <latin typeface="Calibri" panose="020F0502020204030204" pitchFamily="0"/>
        <ea typeface=""/>
        <cs typeface=""/>
      </minorFont>
    </fontScheme>
    <fmtScheme>
      <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fillStyleLst>
      <lnStyleLst>
        <a:ln w="6350" cap="flat" cmpd="sng" algn="ctr">
          <a:prstDash val="solid"/>
          <a:miter lim="800000"/>
        </a:ln>
        <a:ln w="12700" cap="flat" cmpd="sng" algn="ctr">
          <a:prstDash val="solid"/>
          <a:miter lim="800000"/>
        </a:ln>
        <a:ln w="19050" cap="flat" cmpd="sng" algn="ctr">
          <a:prstDash val="solid"/>
          <a:miter lim="800000"/>
        </a:ln>
      </lnStyleLst>
      <effectStyleLst>
        <a:effectStyle>
          <a:effectLst/>
        </a:effectStyle>
        <a:effectStyle>
          <a:effectLst/>
        </a:effectStyle>
        <a:effectStyle>
          <a:effectLst/>
        </a:effectStyle>
      </effectStyleLst>
      <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P1048576"/>
  <sheetViews>
    <sheetView showGridLines="true" showRowColHeaders="true" showZeros="true" tabSelected="true" showOutlineSymbols="true" defaultGridColor="true" view="normal" topLeftCell="A1" colorId="64" zoomScale="98" zoomScaleNormal="98" zoomScalePageLayoutView="100" workbookViewId="0">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llId="0" pane="bottomRight" sqref="H30"/>
    </sheetView>
  </sheetViews>
  <sheetFormatPr defaultColWidth="8.453125" defaultRowHeight="21" customHeight="true"/>
  <cols>
    <col customWidth="true" max="1" min="1" style="1" width="15.14"/>
    <col customWidth="true" max="2" min="2" style="2" width="6.57"/>
    <col customWidth="true" max="3" min="3" width="77.71"/>
    <col customWidth="true" max="4" min="4" width="19.29"/>
    <col customWidth="true" max="5" min="5" width="18"/>
    <col customWidth="true" max="6" min="6" style="3" width="18"/>
    <col customWidth="true" max="9" min="7" style="4" width="16.29"/>
    <col customWidth="true" max="10" min="10" style="4" width="16.14"/>
    <col customWidth="true" max="12" min="11" style="4" width="16.29"/>
    <col customWidth="true" max="13" min="13" style="5" width="21"/>
    <col customWidth="true" max="14" min="14" width="19.14"/>
    <col customWidth="true" max="15" min="15" width="13.29"/>
    <col customWidth="true" max="16" min="16" style="6" width="16.29"/>
    <col customWidth="true" max="16384" min="16382" width="11.53"/>
  </cols>
  <sheetData>
    <row r="1" s="14" customFormat="true" ht="36.75" customHeight="true">
      <c r="A1" s="7"/>
      <c r="B1" s="7"/>
      <c r="C1" s="8" t="s">
        <v>0</v>
      </c>
      <c r="D1" s="9"/>
      <c r="E1" s="10"/>
      <c r="F1" s="11"/>
      <c r="G1" s="12"/>
      <c r="H1" s="12"/>
      <c r="I1" s="12"/>
      <c r="J1" s="12"/>
      <c r="K1" s="12"/>
      <c r="L1" s="12"/>
      <c r="M1" s="13"/>
      <c r="O1" s="15"/>
      <c r="P1" s="6"/>
    </row>
    <row r="2" s="18" customFormat="true" ht="50.25" customHeight="true">
      <c r="A2" s="7"/>
      <c r="B2" s="7" t="s">
        <v>1</v>
      </c>
      <c r="C2" s="8" t="s">
        <v>2</v>
      </c>
      <c r="D2" s="9" t="s">
        <v>3</v>
      </c>
      <c r="E2" s="10" t="s">
        <v>4</v>
      </c>
      <c r="F2" s="16" t="s">
        <v>5</v>
      </c>
      <c r="G2" s="17" t="s">
        <v>6</v>
      </c>
      <c r="H2" s="17" t="s">
        <v>7</v>
      </c>
      <c r="I2" s="17" t="s">
        <v>8</v>
      </c>
      <c r="J2" s="17" t="s">
        <v>9</v>
      </c>
      <c r="K2" s="17" t="s">
        <v>10</v>
      </c>
      <c r="L2" s="17" t="s">
        <v>11</v>
      </c>
      <c r="M2" s="13"/>
      <c r="O2" s="15"/>
      <c r="P2" s="6"/>
    </row>
    <row r="3" s="18" customFormat="true" ht="25.5" customHeight="true">
      <c r="A3" s="19"/>
      <c r="B3" s="20"/>
      <c r="C3" s="21" t="s">
        <v>12</v>
      </c>
      <c r="D3" s="22"/>
      <c r="E3" s="23"/>
      <c r="F3" s="24"/>
      <c r="G3" s="25"/>
      <c r="H3" s="25"/>
      <c r="I3" s="25"/>
      <c r="J3" s="25"/>
      <c r="K3" s="25"/>
      <c r="L3" s="25"/>
      <c r="M3" s="26" t="n">
        <v>0</v>
      </c>
      <c r="O3" s="15"/>
      <c r="P3" s="6"/>
    </row>
    <row r="4" ht="21">
      <c r="A4" s="27" t="n">
        <v>45289</v>
      </c>
      <c r="B4" s="28" t="n">
        <v>28</v>
      </c>
      <c r="C4" s="29" t="s">
        <v>13</v>
      </c>
      <c r="D4" s="30"/>
      <c r="E4" s="23"/>
      <c r="F4" s="24"/>
      <c r="G4" s="25"/>
      <c r="H4" s="25"/>
      <c r="I4" s="25"/>
      <c r="J4" s="25"/>
      <c r="K4" s="25"/>
      <c r="L4" s="25"/>
      <c r="M4" s="31" t="n">
        <f>M3+E4+F4-SUM(G4:L4)</f>
        <v>0</v>
      </c>
    </row>
    <row r="5" ht="21">
      <c r="A5" s="27"/>
      <c r="B5" s="32" t="n">
        <v>1</v>
      </c>
      <c r="C5" s="33" t="s">
        <v>14</v>
      </c>
      <c r="D5" s="30"/>
      <c r="E5" s="23"/>
      <c r="F5" s="24"/>
      <c r="G5" s="25"/>
      <c r="H5" s="25"/>
      <c r="I5" s="25" t="n">
        <v>2500000</v>
      </c>
      <c r="J5" s="25"/>
      <c r="K5" s="25"/>
      <c r="L5" s="25"/>
      <c r="M5" s="31" t="n">
        <f>M4+E5+F5-SUM(G5:L5)</f>
        <v>-2500000</v>
      </c>
    </row>
    <row r="6" ht="21">
      <c r="A6" s="27"/>
      <c r="B6" s="32" t="n">
        <v>2</v>
      </c>
      <c r="C6" s="33" t="s">
        <v>15</v>
      </c>
      <c r="D6" s="30"/>
      <c r="E6" s="23"/>
      <c r="F6" s="24"/>
      <c r="G6" s="25"/>
      <c r="H6" s="25"/>
      <c r="I6" s="25" t="n">
        <v>700000</v>
      </c>
      <c r="J6" s="25"/>
      <c r="K6" s="25"/>
      <c r="L6" s="25"/>
      <c r="M6" s="31" t="n">
        <f>M5+E6+F6-SUM(G6:L6)</f>
        <v>-3200000</v>
      </c>
    </row>
    <row r="7" ht="21">
      <c r="A7" s="27"/>
      <c r="B7" s="32" t="n">
        <v>3</v>
      </c>
      <c r="C7" s="33" t="s">
        <v>16</v>
      </c>
      <c r="D7" s="30"/>
      <c r="E7" s="23"/>
      <c r="F7" s="24"/>
      <c r="G7" s="25"/>
      <c r="H7" s="25"/>
      <c r="I7" s="25" t="n">
        <v>370000</v>
      </c>
      <c r="J7" s="25"/>
      <c r="K7" s="25"/>
      <c r="L7" s="25"/>
      <c r="M7" s="31" t="n">
        <f>M6+E7+F7-SUM(G7:L7)</f>
        <v>-3570000</v>
      </c>
    </row>
    <row r="8" ht="21">
      <c r="A8" s="27"/>
      <c r="B8" s="32" t="n">
        <v>4</v>
      </c>
      <c r="C8" s="33" t="s">
        <v>17</v>
      </c>
      <c r="D8" s="30"/>
      <c r="E8" s="23"/>
      <c r="F8" s="24"/>
      <c r="G8" s="25"/>
      <c r="H8" s="25"/>
      <c r="I8" s="25" t="n">
        <v>315000</v>
      </c>
      <c r="J8" s="25"/>
      <c r="K8" s="25"/>
      <c r="L8" s="25"/>
      <c r="M8" s="31" t="n">
        <f>M7+E8+F8-SUM(G8:L8)</f>
        <v>-3885000</v>
      </c>
    </row>
    <row r="9" ht="21">
      <c r="A9" s="27"/>
      <c r="B9" s="32" t="n">
        <v>5</v>
      </c>
      <c r="C9" s="33" t="s">
        <v>18</v>
      </c>
      <c r="D9" s="30"/>
      <c r="E9" s="23"/>
      <c r="F9" s="24"/>
      <c r="G9" s="25"/>
      <c r="H9" s="25"/>
      <c r="I9" s="25" t="n">
        <v>40000</v>
      </c>
      <c r="J9" s="25"/>
      <c r="K9" s="25"/>
      <c r="L9" s="25"/>
      <c r="M9" s="31" t="n">
        <f>M8+E9+F9-SUM(G9:L9)</f>
        <v>-3925000</v>
      </c>
    </row>
    <row r="10" ht="21">
      <c r="A10" s="27"/>
      <c r="B10" s="32" t="n">
        <v>6</v>
      </c>
      <c r="C10" s="33" t="s">
        <v>19</v>
      </c>
      <c r="D10" s="30"/>
      <c r="E10" s="23"/>
      <c r="F10" s="24"/>
      <c r="G10" s="25"/>
      <c r="H10" s="25"/>
      <c r="I10" s="25" t="n">
        <v>728000</v>
      </c>
      <c r="J10" s="25"/>
      <c r="K10" s="25"/>
      <c r="L10" s="25"/>
      <c r="M10" s="31" t="n">
        <f>M9+E10+F10-SUM(G10:L10)</f>
        <v>-4653000</v>
      </c>
    </row>
    <row r="11" ht="21">
      <c r="A11" s="27"/>
      <c r="B11" s="32" t="n">
        <v>7</v>
      </c>
      <c r="C11" s="33" t="s">
        <v>20</v>
      </c>
      <c r="D11" s="30"/>
      <c r="E11" s="23"/>
      <c r="F11" s="24"/>
      <c r="G11" s="25"/>
      <c r="H11" s="25"/>
      <c r="I11" s="25" t="n">
        <v>2120000</v>
      </c>
      <c r="J11" s="25"/>
      <c r="K11" s="25"/>
      <c r="L11" s="25"/>
      <c r="M11" s="31" t="n">
        <f>M10+E11+F11-SUM(G11:L11)</f>
        <v>-6773000</v>
      </c>
    </row>
    <row r="12" ht="21">
      <c r="A12" s="27"/>
      <c r="B12" s="32" t="n">
        <v>8</v>
      </c>
      <c r="C12" s="33" t="s">
        <v>21</v>
      </c>
      <c r="D12" s="30"/>
      <c r="E12" s="23"/>
      <c r="F12" s="24"/>
      <c r="G12" s="25"/>
      <c r="H12" s="25"/>
      <c r="I12" s="25" t="n">
        <v>1232000</v>
      </c>
      <c r="J12" s="25"/>
      <c r="K12" s="25"/>
      <c r="L12" s="25"/>
      <c r="M12" s="31" t="n">
        <f>M11+E12+F12-SUM(G12:L12)</f>
        <v>-8005000</v>
      </c>
    </row>
    <row r="13" ht="21">
      <c r="A13" s="27"/>
      <c r="B13" s="34" t="n">
        <v>1</v>
      </c>
      <c r="C13" s="33" t="s">
        <v>22</v>
      </c>
      <c r="D13" s="30"/>
      <c r="E13" s="23"/>
      <c r="F13" s="24"/>
      <c r="G13" s="25"/>
      <c r="H13" s="25"/>
      <c r="I13" s="25"/>
      <c r="J13" s="25" t="n">
        <v>435000</v>
      </c>
      <c r="K13" s="25"/>
      <c r="L13" s="25"/>
      <c r="M13" s="31" t="n">
        <f>M12+E13+F13-SUM(G13:L13)</f>
        <v>-8440000</v>
      </c>
    </row>
    <row r="14" ht="21">
      <c r="A14" s="27"/>
      <c r="B14" s="34" t="n">
        <v>2</v>
      </c>
      <c r="C14" s="33" t="s">
        <v>23</v>
      </c>
      <c r="D14" s="30"/>
      <c r="E14" s="23"/>
      <c r="F14" s="24"/>
      <c r="G14" s="25"/>
      <c r="H14" s="25"/>
      <c r="I14" s="25"/>
      <c r="J14" s="25" t="n">
        <v>480000</v>
      </c>
      <c r="K14" s="25"/>
      <c r="L14" s="25"/>
      <c r="M14" s="31" t="n">
        <f>M13+E14+F14-SUM(G14:L14)</f>
        <v>-8920000</v>
      </c>
    </row>
    <row r="15" ht="21">
      <c r="A15" s="27"/>
      <c r="B15" s="34" t="n">
        <v>3</v>
      </c>
      <c r="C15" s="33" t="s">
        <v>24</v>
      </c>
      <c r="D15" s="30"/>
      <c r="E15" s="23"/>
      <c r="F15" s="24"/>
      <c r="G15" s="25"/>
      <c r="H15" s="25"/>
      <c r="I15" s="25"/>
      <c r="J15" s="25" t="n">
        <v>213000</v>
      </c>
      <c r="K15" s="25"/>
      <c r="L15" s="25"/>
      <c r="M15" s="31" t="n">
        <f>M14+E15+F15-SUM(G15:L15)</f>
        <v>-9133000</v>
      </c>
    </row>
    <row r="16" ht="21">
      <c r="A16" s="27"/>
      <c r="B16" s="34" t="n">
        <v>4</v>
      </c>
      <c r="C16" s="33" t="s">
        <v>25</v>
      </c>
      <c r="D16" s="30"/>
      <c r="E16" s="23"/>
      <c r="F16" s="24"/>
      <c r="G16" s="25"/>
      <c r="H16" s="25"/>
      <c r="I16" s="25"/>
      <c r="J16" s="25" t="n">
        <v>13782000</v>
      </c>
      <c r="K16" s="25"/>
      <c r="L16" s="25"/>
      <c r="M16" s="31" t="n">
        <f>M15+E16+F16-SUM(G16:L16)</f>
        <v>-22915000</v>
      </c>
    </row>
    <row r="17" ht="21">
      <c r="A17" s="27"/>
      <c r="B17" s="34" t="n">
        <v>5</v>
      </c>
      <c r="C17" s="33" t="s">
        <v>26</v>
      </c>
      <c r="D17" s="30"/>
      <c r="E17" s="23"/>
      <c r="F17" s="24"/>
      <c r="G17" s="25"/>
      <c r="H17" s="25"/>
      <c r="I17" s="25"/>
      <c r="J17" s="25" t="n">
        <v>4156000</v>
      </c>
      <c r="K17" s="25"/>
      <c r="L17" s="25"/>
      <c r="M17" s="31" t="n">
        <f>M16+E17+F17-SUM(G17:L17)</f>
        <v>-27071000</v>
      </c>
    </row>
    <row r="18" ht="21">
      <c r="A18" s="27"/>
      <c r="B18" s="34" t="n">
        <v>6</v>
      </c>
      <c r="C18" s="33" t="s">
        <v>27</v>
      </c>
      <c r="D18" s="30"/>
      <c r="E18" s="23"/>
      <c r="F18" s="24"/>
      <c r="G18" s="25"/>
      <c r="H18" s="25"/>
      <c r="I18" s="25"/>
      <c r="J18" s="25" t="n">
        <v>652000</v>
      </c>
      <c r="K18" s="25"/>
      <c r="L18" s="25"/>
      <c r="M18" s="31" t="n">
        <f>M17+E18+F18-SUM(G18:L18)</f>
        <v>-27723000</v>
      </c>
    </row>
    <row r="19" ht="21">
      <c r="A19" s="27"/>
      <c r="B19" s="34" t="n">
        <v>7</v>
      </c>
      <c r="C19" s="33" t="s">
        <v>28</v>
      </c>
      <c r="D19" s="30"/>
      <c r="E19" s="23"/>
      <c r="F19" s="24"/>
      <c r="G19" s="25"/>
      <c r="H19" s="25"/>
      <c r="I19" s="25"/>
      <c r="J19" s="25" t="n">
        <v>3115000</v>
      </c>
      <c r="K19" s="25"/>
      <c r="L19" s="25"/>
      <c r="M19" s="31" t="n">
        <f>M18+E19+F19-SUM(G19:L19)</f>
        <v>-30838000</v>
      </c>
    </row>
    <row r="20" ht="21">
      <c r="A20" s="27"/>
      <c r="B20" s="35" t="n">
        <v>1</v>
      </c>
      <c r="C20" s="33" t="s">
        <v>29</v>
      </c>
      <c r="D20" s="30"/>
      <c r="E20" s="23"/>
      <c r="F20" s="24"/>
      <c r="G20" s="25"/>
      <c r="H20" s="25"/>
      <c r="I20" s="25"/>
      <c r="J20" s="25"/>
      <c r="K20" s="25" t="n">
        <v>240000</v>
      </c>
      <c r="L20" s="25"/>
      <c r="M20" s="31" t="n">
        <f>M19+E20+F20-SUM(G20:L20)</f>
        <v>-31078000</v>
      </c>
    </row>
    <row r="21" ht="21">
      <c r="A21" s="27"/>
      <c r="B21" s="35" t="n">
        <v>2</v>
      </c>
      <c r="C21" s="36" t="s">
        <v>30</v>
      </c>
      <c r="D21" s="30"/>
      <c r="E21" s="23"/>
      <c r="F21" s="24"/>
      <c r="G21" s="25"/>
      <c r="H21" s="25"/>
      <c r="I21" s="25"/>
      <c r="J21" s="25"/>
      <c r="K21" s="25" t="n">
        <v>82000000</v>
      </c>
      <c r="L21" s="25"/>
      <c r="M21" s="31" t="n">
        <f>M20+E21+F21-SUM(G21:L21)</f>
        <v>-113078000</v>
      </c>
    </row>
    <row r="22" ht="21">
      <c r="A22" s="27"/>
      <c r="B22" s="35" t="n">
        <v>3</v>
      </c>
      <c r="C22" s="37" t="s">
        <v>31</v>
      </c>
      <c r="D22" s="30"/>
      <c r="E22" s="23"/>
      <c r="F22" s="24"/>
      <c r="G22" s="25"/>
      <c r="H22" s="25"/>
      <c r="I22" s="25"/>
      <c r="J22" s="25"/>
      <c r="K22" s="25" t="n">
        <v>5600000</v>
      </c>
      <c r="L22" s="25"/>
      <c r="M22" s="31" t="n">
        <f>M21+E22+F22-SUM(G22:L22)</f>
        <v>-118678000</v>
      </c>
    </row>
    <row r="23" ht="21">
      <c r="A23" s="27"/>
      <c r="B23" s="35" t="n">
        <v>4</v>
      </c>
      <c r="C23" s="37" t="s">
        <v>32</v>
      </c>
      <c r="D23" s="30"/>
      <c r="E23" s="23"/>
      <c r="F23" s="24"/>
      <c r="G23" s="25"/>
      <c r="H23" s="25"/>
      <c r="I23" s="25"/>
      <c r="J23" s="25"/>
      <c r="K23" s="25" t="n">
        <v>3920000</v>
      </c>
      <c r="L23" s="25"/>
      <c r="M23" s="31" t="n">
        <f>M22+E23+F23-SUM(G23:L23)</f>
        <v>-122598000</v>
      </c>
    </row>
    <row r="24" ht="21">
      <c r="A24" s="27"/>
      <c r="B24" s="35" t="n">
        <v>5</v>
      </c>
      <c r="C24" s="37" t="s">
        <v>33</v>
      </c>
      <c r="D24" s="30"/>
      <c r="E24" s="23"/>
      <c r="F24" s="24"/>
      <c r="G24" s="25"/>
      <c r="H24" s="25"/>
      <c r="I24" s="25"/>
      <c r="J24" s="25"/>
      <c r="K24" s="25" t="n">
        <v>9668000</v>
      </c>
      <c r="L24" s="25"/>
      <c r="M24" s="31" t="n">
        <f>M23+E24+F24-SUM(G24:L24)</f>
        <v>-132266000</v>
      </c>
    </row>
    <row r="25" ht="21">
      <c r="A25" s="27"/>
      <c r="B25" s="35" t="n">
        <v>6</v>
      </c>
      <c r="C25" s="33" t="s">
        <v>34</v>
      </c>
      <c r="D25" s="30"/>
      <c r="E25" s="23"/>
      <c r="F25" s="24"/>
      <c r="G25" s="25"/>
      <c r="H25" s="25"/>
      <c r="I25" s="25"/>
      <c r="J25" s="25"/>
      <c r="K25" s="25" t="n">
        <v>3405000</v>
      </c>
      <c r="L25" s="25"/>
      <c r="M25" s="31" t="n">
        <f>M24+E25+F25-SUM(G25:L25)</f>
        <v>-135671000</v>
      </c>
    </row>
    <row r="26" ht="21">
      <c r="A26" s="27"/>
      <c r="B26" s="35" t="n">
        <v>2</v>
      </c>
      <c r="C26" s="38" t="s">
        <v>35</v>
      </c>
      <c r="D26" s="30"/>
      <c r="E26" s="23"/>
      <c r="F26" s="24"/>
      <c r="G26" s="25"/>
      <c r="H26" s="25"/>
      <c r="I26" s="25"/>
      <c r="J26" s="25"/>
      <c r="K26" s="25"/>
      <c r="L26" s="25"/>
      <c r="M26" s="31" t="n">
        <f>M25+E26+F26-SUM(G26:L26)</f>
        <v>-135671000</v>
      </c>
    </row>
    <row r="27" ht="21">
      <c r="A27" s="27" t="n">
        <v>45290</v>
      </c>
      <c r="B27" s="28" t="n">
        <v>29</v>
      </c>
      <c r="C27" s="29" t="s">
        <v>13</v>
      </c>
      <c r="D27" s="30"/>
      <c r="E27" s="23"/>
      <c r="F27" s="24"/>
      <c r="G27" s="25"/>
      <c r="H27" s="25"/>
      <c r="I27" s="25"/>
      <c r="J27" s="25"/>
      <c r="K27" s="25"/>
      <c r="L27" s="25"/>
      <c r="M27" s="31" t="n">
        <f>M26+E27+F27-SUM(G27:L27)</f>
        <v>-135671000</v>
      </c>
      <c r="N27" s="39"/>
    </row>
    <row r="28" ht="21">
      <c r="A28" s="27"/>
      <c r="B28" s="35" t="n">
        <v>1</v>
      </c>
      <c r="C28" s="38" t="s">
        <v>36</v>
      </c>
      <c r="D28" s="30"/>
      <c r="E28" s="23"/>
      <c r="F28" s="24"/>
      <c r="G28" s="25"/>
      <c r="H28" s="25"/>
      <c r="I28" s="25"/>
      <c r="J28" s="25"/>
      <c r="K28" s="25"/>
      <c r="L28" s="25"/>
      <c r="M28" s="40" t="n">
        <f>M27+E28+F28-SUM(G28:L28)</f>
        <v>-135671000</v>
      </c>
      <c r="N28" s="39"/>
    </row>
    <row r="29" ht="21">
      <c r="A29" s="27"/>
      <c r="B29" s="35" t="s">
        <v>37</v>
      </c>
      <c r="C29" s="33" t="s">
        <v>38</v>
      </c>
      <c r="D29" s="30" t="s">
        <v>39</v>
      </c>
      <c r="E29" s="23"/>
      <c r="F29" s="24"/>
      <c r="G29" s="25"/>
      <c r="H29" s="25"/>
      <c r="I29" s="25"/>
      <c r="J29" s="25"/>
      <c r="K29" s="25" t="s">
        <v>40</v>
      </c>
      <c r="L29" s="25"/>
      <c r="M29" s="31"/>
    </row>
    <row r="1048323" ht="12.8"/>
    <row r="1048324" ht="12.8"/>
    <row r="1048325" ht="12.8"/>
    <row r="1048326" ht="12.8"/>
    <row r="1048327" ht="12.8"/>
    <row r="1048328" ht="12.8"/>
    <row r="1048329" ht="12.8"/>
    <row r="1048330" ht="12.8"/>
    <row r="1048331" ht="12.8"/>
    <row r="1048332" ht="12.8"/>
    <row r="1048333" ht="12.8"/>
    <row r="1048334" ht="12.8"/>
    <row r="1048335" ht="12.8"/>
    <row r="1048336" ht="12.8"/>
    <row r="1048337" ht="12.8"/>
    <row r="1048338" ht="12.8"/>
    <row r="1048339" ht="12.8"/>
    <row r="1048340" ht="12.8"/>
    <row r="1048341" ht="12.8"/>
    <row r="1048342" ht="12.8"/>
    <row r="1048343" ht="12.8"/>
    <row r="1048344" ht="12.8"/>
    <row r="1048345" ht="12.8"/>
    <row r="1048346" ht="12.8"/>
    <row r="1048347" ht="12.8"/>
    <row r="1048348" ht="12.8"/>
    <row r="1048349" ht="12.8"/>
    <row r="1048350" ht="12.8"/>
    <row r="1048351" ht="12.8"/>
    <row r="1048352" ht="12.8"/>
    <row r="1048353" ht="12.8"/>
    <row r="1048354" ht="12.8"/>
    <row r="1048355" ht="12.8"/>
    <row r="1048356" ht="12.8"/>
    <row r="1048357" ht="12.8"/>
    <row r="1048358" ht="12.8"/>
    <row r="1048359" ht="12.8"/>
    <row r="1048360" ht="12.8"/>
    <row r="1048361" ht="12.8"/>
    <row r="1048362" ht="12.8"/>
    <row r="1048363" ht="12.8"/>
    <row r="1048364" ht="12.8"/>
    <row r="1048365" ht="12.8"/>
    <row r="1048366" ht="12.8"/>
    <row r="1048367" ht="12.8"/>
    <row r="1048368" ht="12.8"/>
    <row r="1048369" ht="12.8"/>
    <row r="1048370" ht="12.8"/>
    <row r="1048371" ht="12.8"/>
    <row r="1048372" ht="12.8"/>
    <row r="1048373" ht="12.8"/>
    <row r="1048374" ht="12.8"/>
    <row r="1048375" ht="12.8"/>
    <row r="1048376" ht="12.8"/>
    <row r="1048377" ht="12.8"/>
    <row r="1048378" ht="12.8"/>
    <row r="1048379" ht="12.8"/>
    <row r="1048380" ht="12.8"/>
    <row r="1048381" ht="12.8"/>
    <row r="1048382" ht="12.8"/>
    <row r="1048383" ht="12.8"/>
    <row r="1048384" ht="12.8"/>
    <row r="1048385" ht="12.8"/>
    <row r="1048386" ht="12.8"/>
    <row r="1048387" ht="12.8"/>
    <row r="1048388" ht="12.8"/>
    <row r="1048389" ht="12.8"/>
    <row r="1048390" ht="12.8"/>
    <row r="1048391" ht="12.8"/>
    <row r="1048392" ht="12.8"/>
    <row r="1048393" ht="12.8"/>
    <row r="1048394" ht="12.8"/>
    <row r="1048395" ht="12.8"/>
    <row r="1048396" ht="12.8"/>
    <row r="1048397" ht="12.8"/>
    <row r="1048398" ht="12.8"/>
    <row r="1048399" ht="12.8"/>
    <row r="1048400" ht="12.8"/>
    <row r="1048401" ht="12.8"/>
    <row r="1048402" ht="12.8"/>
    <row r="1048403" ht="12.8"/>
    <row r="1048404" ht="12.8"/>
    <row r="1048405" ht="12.8"/>
    <row r="1048406" ht="12.8"/>
    <row r="1048407" ht="12.8"/>
    <row r="1048408" ht="12.8"/>
    <row r="1048409" ht="12.8"/>
    <row r="1048410" ht="12.8"/>
    <row r="1048411" ht="12.8"/>
    <row r="1048412" ht="12.8"/>
    <row r="1048413" ht="12.8"/>
    <row r="1048414" ht="12.8"/>
    <row r="1048415" ht="12.8"/>
    <row r="1048416" ht="12.8"/>
    <row r="1048417" ht="12.8"/>
    <row r="1048418" ht="12.8"/>
    <row r="1048419" ht="12.8"/>
    <row r="1048420" ht="12.8"/>
    <row r="1048421" ht="12.8"/>
    <row r="1048422" ht="12.8"/>
    <row r="1048423" ht="12.8"/>
    <row r="1048424" ht="12.8"/>
    <row r="1048425" ht="12.8"/>
    <row r="1048426" ht="12.8"/>
    <row r="1048427" ht="12.8"/>
    <row r="1048428" ht="12.8"/>
    <row r="1048429" ht="12.8"/>
    <row r="1048430" ht="12.8"/>
    <row r="1048431" ht="12.8"/>
    <row r="1048432" ht="12.8"/>
    <row r="1048433" ht="12.8"/>
    <row r="1048434" ht="12.8"/>
    <row r="1048435" ht="12.8"/>
    <row r="1048436" ht="12.8"/>
    <row r="1048437" ht="12.8"/>
    <row r="1048438" ht="12.8"/>
    <row r="1048439" ht="12.8"/>
    <row r="1048440" ht="12.8"/>
    <row r="1048441" ht="12.8"/>
    <row r="1048442" ht="12.8"/>
    <row r="1048443" ht="12.8"/>
    <row r="1048444" ht="12.8"/>
    <row r="1048445" ht="12.8"/>
    <row r="1048446" ht="12.8"/>
    <row r="1048447" ht="12.8"/>
    <row r="1048448" ht="12.8"/>
    <row r="1048449" ht="12.8"/>
    <row r="1048450" ht="12.8"/>
    <row r="1048451" ht="12.8"/>
    <row r="1048452" ht="12.8"/>
    <row r="1048453" ht="12.8"/>
    <row r="1048454" ht="12.8"/>
    <row r="1048455" ht="12.8"/>
    <row r="1048456" ht="12.8"/>
    <row r="1048457" ht="12.8"/>
    <row r="1048458" ht="12.8"/>
    <row r="1048459" ht="12.8"/>
    <row r="1048460" ht="12.8"/>
    <row r="1048461" ht="12.8"/>
    <row r="1048462" ht="12.8"/>
    <row r="1048463" ht="12.8"/>
    <row r="1048464" ht="12.8"/>
    <row r="1048465" ht="12.8"/>
    <row r="1048466" ht="12.8"/>
    <row r="1048467" ht="12.8"/>
    <row r="1048468" ht="12.8"/>
    <row r="1048469" ht="12.8"/>
    <row r="1048470" ht="12.8"/>
    <row r="1048471" ht="12.8"/>
    <row r="1048472" ht="12.8"/>
    <row r="1048473" ht="12.8"/>
    <row r="1048474" ht="12.8"/>
    <row r="1048475" ht="12.8"/>
    <row r="1048476" ht="12.8"/>
    <row r="1048477" ht="12.8"/>
    <row r="1048478" ht="12.8"/>
    <row r="1048479" ht="12.8"/>
    <row r="1048480" ht="12.8"/>
    <row r="1048487" ht="12.8" customHeight="true"/>
    <row r="1048488" ht="12.8" customHeight="true"/>
    <row r="1048489" ht="12.8" customHeight="true"/>
    <row r="1048502" ht="12.8" customHeight="true"/>
    <row r="1048503" ht="12.8" customHeight="true"/>
    <row r="1048504" ht="12.8" customHeight="true"/>
    <row r="1048505" ht="12.8" customHeight="true"/>
    <row r="1048506" ht="12.8" customHeight="true"/>
    <row r="1048507" ht="12.8" customHeight="true"/>
    <row r="1048508" ht="12.8" customHeight="true"/>
    <row r="1048509" ht="12.8" customHeight="true"/>
    <row r="1048510" ht="12.8" customHeight="true"/>
    <row r="1048511" ht="12.8" customHeight="true"/>
    <row r="1048512" ht="12.8" customHeight="true"/>
    <row r="1048513" ht="12.8" customHeight="true"/>
    <row r="1048514" ht="12.8" customHeight="true"/>
    <row r="1048515" ht="12.8" customHeight="true"/>
    <row r="1048516" ht="12.8" customHeight="true"/>
    <row r="1048517" ht="12.8" customHeight="true"/>
    <row r="1048518" ht="12.8" customHeight="true"/>
    <row r="1048519" ht="12.8" customHeight="true"/>
    <row r="1048520" ht="12.8" customHeight="true"/>
    <row r="1048521" ht="12.8" customHeight="true"/>
    <row r="1048522" ht="12.8" customHeight="true"/>
    <row r="1048523" ht="12.8" customHeight="true"/>
    <row r="1048524" ht="12.8" customHeight="true"/>
    <row r="1048525" ht="12.8" customHeight="true"/>
    <row r="1048526" ht="12.8" customHeight="true"/>
    <row r="1048527" ht="12.8" customHeight="true"/>
    <row r="1048528" ht="12.8" customHeight="true"/>
    <row r="1048529" ht="12.8" customHeight="true"/>
    <row r="1048530" ht="12.8" customHeight="true"/>
    <row r="1048531" ht="12.8" customHeight="true"/>
    <row r="1048532" ht="12.8" customHeight="true"/>
    <row r="1048533" ht="12.8" customHeight="true"/>
    <row r="1048534" ht="12.8" customHeight="true"/>
    <row r="1048535" ht="12.8" customHeight="true"/>
    <row r="1048536" ht="12.8" customHeight="true"/>
    <row r="1048537" ht="12.8" customHeight="true"/>
    <row r="1048538" ht="12.8" customHeight="true"/>
    <row r="1048539" ht="12.8" customHeight="true"/>
    <row r="1048540" ht="12.8" customHeight="true"/>
    <row r="1048541" ht="12.8" customHeight="true"/>
    <row r="1048542" ht="12.8" customHeight="true"/>
    <row r="1048543" ht="12.8" customHeight="true"/>
    <row r="1048544" ht="12.8" customHeight="true"/>
    <row r="1048545" ht="12.8" customHeight="true"/>
    <row r="1048546" ht="12.8" customHeight="true"/>
    <row r="1048547" ht="12.8" customHeight="true"/>
    <row r="1048548" ht="12.8" customHeight="true"/>
    <row r="1048549" ht="12.8" customHeight="true"/>
    <row r="1048550" ht="12.8" customHeight="true"/>
    <row r="1048551" ht="12.8" customHeight="true"/>
    <row r="1048552" ht="12.8" customHeight="true"/>
    <row r="1048553" ht="12.8" customHeight="true"/>
    <row r="1048554" ht="12.8" customHeight="true"/>
    <row r="1048555" ht="12.8" customHeight="true"/>
    <row r="1048556" ht="12.8" customHeight="true"/>
    <row r="1048557" ht="12.8" customHeight="true"/>
    <row r="1048558" ht="12.8" customHeight="true"/>
  </sheetData>
  <mergeCells count="1">
    <mergeCell ref="G1:L1"/>
  </mergeCells>
  <printOptions gridLinesSet="true"/>
  <pageMargins left="0.7" right="0.7" top="0.75" bottom="0.75" header="0.511811023622047" footer="0.511811023622047"/>
  <pageSetup cellComments="none" copies="1" fitToHeight="1" fitToWidth="1" horizontalDpi="300" orientation="portrait" pageOrder="downThenOver" paperSize="1" scale="43" verticalDpi="300"/>
  <headerFooter/>
  <colBreaks count="1" manualBreakCount="1">
    <brk id="11" max="65535" man="true"/>
  </colBreaks>
</worksheet>
</file>

<file path=docProps/app.xml><?xml version="1.0" encoding="utf-8"?>
<Properties xmlns="http://schemas.openxmlformats.org/officeDocument/2006/extended-properties" xmlns:vt="http://schemas.openxmlformats.org/officeDocument/2006/docPropsVTypes">
  <Template/>
  <TotalTime>17</TotalTime>
  <Application>LibreOffice/25.8.1.1$Windows_X86_64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
  <dcterms:modified xsi:type="dcterms:W3CDTF">2025-09-27T21:08:54Z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file>